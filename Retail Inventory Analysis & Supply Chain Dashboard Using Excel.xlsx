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cuments\Project\"/>
    </mc:Choice>
  </mc:AlternateContent>
  <xr:revisionPtr revIDLastSave="0" documentId="8_{FB02B265-0DFE-49D8-8219-9C7D59DB73D2}" xr6:coauthVersionLast="47" xr6:coauthVersionMax="47" xr10:uidLastSave="{00000000-0000-0000-0000-000000000000}"/>
  <bookViews>
    <workbookView xWindow="-108" yWindow="-108" windowWidth="23256" windowHeight="12456" xr2:uid="{00000000-000D-0000-FFFF-FFFF00000000}"/>
  </bookViews>
  <sheets>
    <sheet name="Project Overview" sheetId="20" r:id="rId1"/>
    <sheet name="Executive Dashboard" sheetId="13" r:id="rId2"/>
    <sheet name="ABC Analysis" sheetId="17" r:id="rId3"/>
    <sheet name="Category Analysis" sheetId="7" r:id="rId4"/>
    <sheet name="Supplier Analysis" sheetId="9" r:id="rId5"/>
    <sheet name="Inventory Turnover Analysis" sheetId="10" r:id="rId6"/>
    <sheet name="Monthly Demand Data" sheetId="18" r:id="rId7"/>
    <sheet name="Forecast Analysis" sheetId="19" r:id="rId8"/>
    <sheet name="Raw Data" sheetId="1" r:id="rId9"/>
    <sheet name="Calculations" sheetId="14" r:id="rId10"/>
  </sheets>
  <definedNames>
    <definedName name="_xlnm._FilterDatabase" localSheetId="6" hidden="1">'Monthly Demand Data'!$A$3:$E$86</definedName>
    <definedName name="_xlnm._FilterDatabase" localSheetId="8" hidden="1">'Raw Data'!$A$1:$I$41</definedName>
    <definedName name="Slicer_Category">#N/A</definedName>
    <definedName name="Slicer_Stock_Status">#N/A</definedName>
    <definedName name="Slicer_Supplier">#N/A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P4" i="19" l="1"/>
  <c r="E87" i="18"/>
  <c r="E4" i="18"/>
  <c r="E5" i="18"/>
  <c r="E84" i="18"/>
  <c r="E85" i="18"/>
  <c r="E86" i="18"/>
  <c r="E83" i="18"/>
  <c r="E77" i="18"/>
  <c r="E78" i="18"/>
  <c r="E79" i="18"/>
  <c r="E76" i="18"/>
  <c r="E70" i="18"/>
  <c r="E71" i="18"/>
  <c r="E72" i="18"/>
  <c r="E69" i="18"/>
  <c r="E63" i="18"/>
  <c r="E64" i="18"/>
  <c r="E65" i="18"/>
  <c r="E62" i="18"/>
  <c r="E56" i="18"/>
  <c r="E57" i="18"/>
  <c r="E58" i="18"/>
  <c r="E55" i="18"/>
  <c r="E49" i="18"/>
  <c r="E50" i="18"/>
  <c r="E51" i="18"/>
  <c r="E48" i="18"/>
  <c r="E42" i="18"/>
  <c r="E43" i="18"/>
  <c r="E44" i="18"/>
  <c r="E41" i="18"/>
  <c r="E35" i="18"/>
  <c r="E36" i="18"/>
  <c r="E37" i="18"/>
  <c r="E34" i="18"/>
  <c r="E28" i="18"/>
  <c r="E29" i="18"/>
  <c r="E30" i="18"/>
  <c r="E27" i="18"/>
  <c r="E21" i="18"/>
  <c r="E22" i="18"/>
  <c r="E23" i="18"/>
  <c r="E20" i="18"/>
  <c r="E6" i="18"/>
  <c r="E14" i="18"/>
  <c r="E15" i="18"/>
  <c r="E16" i="18"/>
  <c r="E13" i="18"/>
  <c r="E7" i="18"/>
  <c r="E8" i="18"/>
  <c r="E9" i="18"/>
  <c r="A3" i="14"/>
  <c r="A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2" i="14"/>
  <c r="H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2" i="14"/>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2" i="14"/>
  <c r="F2" i="14" s="1"/>
  <c r="F3" i="14" l="1"/>
  <c r="G2" i="14"/>
  <c r="I2" i="14" s="1"/>
  <c r="F5" i="13"/>
  <c r="D5" i="13"/>
  <c r="B5" i="13"/>
  <c r="B47" i="1"/>
  <c r="B49" i="1"/>
  <c r="B48" i="1"/>
  <c r="N3" i="1"/>
  <c r="N4" i="1"/>
  <c r="N5" i="1"/>
  <c r="N6" i="1"/>
  <c r="N7" i="1"/>
  <c r="N8" i="1"/>
  <c r="N9" i="1"/>
  <c r="N10" i="1"/>
  <c r="N11" i="1"/>
  <c r="N12" i="1"/>
  <c r="N13" i="1"/>
  <c r="N14" i="1"/>
  <c r="N15" i="1"/>
  <c r="N16" i="1"/>
  <c r="N17" i="1"/>
  <c r="N19" i="1"/>
  <c r="N20" i="1"/>
  <c r="N21" i="1"/>
  <c r="N22" i="1"/>
  <c r="N23" i="1"/>
  <c r="N24" i="1"/>
  <c r="N25" i="1"/>
  <c r="N26" i="1"/>
  <c r="N27" i="1"/>
  <c r="N28" i="1"/>
  <c r="N29" i="1"/>
  <c r="N30" i="1"/>
  <c r="N32" i="1"/>
  <c r="N33" i="1"/>
  <c r="N34" i="1"/>
  <c r="N35" i="1"/>
  <c r="N36" i="1"/>
  <c r="N37" i="1"/>
  <c r="N38" i="1"/>
  <c r="N39" i="1"/>
  <c r="N40" i="1"/>
  <c r="N41" i="1"/>
  <c r="N2" i="1"/>
  <c r="M3" i="1"/>
  <c r="M4" i="1"/>
  <c r="M5" i="1"/>
  <c r="M6" i="1"/>
  <c r="M7" i="1"/>
  <c r="M8" i="1"/>
  <c r="M9" i="1"/>
  <c r="M10" i="1"/>
  <c r="M11" i="1"/>
  <c r="M12" i="1"/>
  <c r="M13" i="1"/>
  <c r="M14" i="1"/>
  <c r="M15" i="1"/>
  <c r="M16" i="1"/>
  <c r="M17" i="1"/>
  <c r="M19" i="1"/>
  <c r="M20" i="1"/>
  <c r="M21" i="1"/>
  <c r="M22" i="1"/>
  <c r="M23" i="1"/>
  <c r="M24" i="1"/>
  <c r="M25" i="1"/>
  <c r="M26" i="1"/>
  <c r="M27" i="1"/>
  <c r="M28" i="1"/>
  <c r="M29" i="1"/>
  <c r="M30" i="1"/>
  <c r="M32" i="1"/>
  <c r="M33" i="1"/>
  <c r="M34" i="1"/>
  <c r="M35" i="1"/>
  <c r="M36" i="1"/>
  <c r="M37" i="1"/>
  <c r="M38" i="1"/>
  <c r="M39" i="1"/>
  <c r="M40" i="1"/>
  <c r="M41" i="1"/>
  <c r="M2" i="1"/>
  <c r="L19" i="1"/>
  <c r="L20" i="1"/>
  <c r="L21" i="1"/>
  <c r="L22" i="1"/>
  <c r="L23" i="1"/>
  <c r="L24" i="1"/>
  <c r="L25" i="1"/>
  <c r="L26" i="1"/>
  <c r="L27" i="1"/>
  <c r="L28" i="1"/>
  <c r="L29" i="1"/>
  <c r="L30" i="1"/>
  <c r="L32" i="1"/>
  <c r="L33" i="1"/>
  <c r="L34" i="1"/>
  <c r="L35" i="1"/>
  <c r="L36" i="1"/>
  <c r="L37" i="1"/>
  <c r="L38" i="1"/>
  <c r="L39" i="1"/>
  <c r="L40" i="1"/>
  <c r="L41" i="1"/>
  <c r="L6" i="1"/>
  <c r="L7" i="1"/>
  <c r="L9" i="1"/>
  <c r="L10" i="1"/>
  <c r="L11" i="1"/>
  <c r="L12" i="1"/>
  <c r="L13" i="1"/>
  <c r="L14" i="1"/>
  <c r="L15" i="1"/>
  <c r="L16" i="1"/>
  <c r="L17" i="1"/>
  <c r="L5" i="1"/>
  <c r="L3" i="1"/>
  <c r="L4" i="1"/>
  <c r="L2" i="1"/>
  <c r="K3" i="1"/>
  <c r="K4" i="1"/>
  <c r="K5" i="1"/>
  <c r="K6" i="1"/>
  <c r="K7" i="1"/>
  <c r="K9" i="1"/>
  <c r="K10" i="1"/>
  <c r="K11" i="1"/>
  <c r="K12" i="1"/>
  <c r="K13" i="1"/>
  <c r="K14" i="1"/>
  <c r="K15" i="1"/>
  <c r="K16" i="1"/>
  <c r="K17" i="1"/>
  <c r="K19" i="1"/>
  <c r="K20" i="1"/>
  <c r="K21" i="1"/>
  <c r="K22" i="1"/>
  <c r="K23" i="1"/>
  <c r="K24" i="1"/>
  <c r="K25" i="1"/>
  <c r="K26" i="1"/>
  <c r="K27" i="1"/>
  <c r="K28" i="1"/>
  <c r="K29" i="1"/>
  <c r="K30" i="1"/>
  <c r="K32" i="1"/>
  <c r="K33" i="1"/>
  <c r="K34" i="1"/>
  <c r="K35" i="1"/>
  <c r="K36" i="1"/>
  <c r="K37" i="1"/>
  <c r="K38" i="1"/>
  <c r="K39" i="1"/>
  <c r="K40" i="1"/>
  <c r="K41" i="1"/>
  <c r="K2" i="1"/>
  <c r="J7" i="1"/>
  <c r="J8" i="1"/>
  <c r="J9" i="1"/>
  <c r="J10" i="1"/>
  <c r="J15" i="1"/>
  <c r="J16" i="1"/>
  <c r="J17" i="1"/>
  <c r="J23" i="1"/>
  <c r="J24" i="1"/>
  <c r="J25" i="1"/>
  <c r="J32" i="1"/>
  <c r="J33" i="1"/>
  <c r="J2" i="1"/>
  <c r="G35" i="1"/>
  <c r="J35" i="1" s="1"/>
  <c r="G36" i="1"/>
  <c r="J36" i="1" s="1"/>
  <c r="G37" i="1"/>
  <c r="J37" i="1" s="1"/>
  <c r="G38" i="1"/>
  <c r="J38" i="1" s="1"/>
  <c r="G39" i="1"/>
  <c r="J39" i="1" s="1"/>
  <c r="G40" i="1"/>
  <c r="J40" i="1" s="1"/>
  <c r="G41" i="1"/>
  <c r="J41" i="1" s="1"/>
  <c r="G34" i="1"/>
  <c r="J34" i="1" s="1"/>
  <c r="G33" i="1"/>
  <c r="G32" i="1"/>
  <c r="G31" i="1"/>
  <c r="M31" i="1" s="1"/>
  <c r="N31" i="1" s="1"/>
  <c r="G30" i="1"/>
  <c r="J30" i="1" s="1"/>
  <c r="G29" i="1"/>
  <c r="J29" i="1" s="1"/>
  <c r="G28" i="1"/>
  <c r="J28" i="1" s="1"/>
  <c r="G27" i="1"/>
  <c r="J27" i="1" s="1"/>
  <c r="G26" i="1"/>
  <c r="J26" i="1" s="1"/>
  <c r="G25" i="1"/>
  <c r="G24" i="1"/>
  <c r="G23" i="1"/>
  <c r="G22" i="1"/>
  <c r="J22" i="1" s="1"/>
  <c r="G21" i="1"/>
  <c r="J21" i="1" s="1"/>
  <c r="G20" i="1"/>
  <c r="J20" i="1" s="1"/>
  <c r="G19" i="1"/>
  <c r="J19" i="1" s="1"/>
  <c r="G18" i="1"/>
  <c r="J18" i="1" s="1"/>
  <c r="G17" i="1"/>
  <c r="G16" i="1"/>
  <c r="G15" i="1"/>
  <c r="G14" i="1"/>
  <c r="J14" i="1" s="1"/>
  <c r="G13" i="1"/>
  <c r="J13" i="1" s="1"/>
  <c r="G12" i="1"/>
  <c r="J12" i="1" s="1"/>
  <c r="G5" i="1"/>
  <c r="J5" i="1" s="1"/>
  <c r="G6" i="1"/>
  <c r="J6" i="1" s="1"/>
  <c r="G7" i="1"/>
  <c r="G8" i="1"/>
  <c r="K8" i="1" s="1"/>
  <c r="L8" i="1" s="1"/>
  <c r="G9" i="1"/>
  <c r="G10" i="1"/>
  <c r="G11" i="1"/>
  <c r="J11" i="1" s="1"/>
  <c r="G4" i="1"/>
  <c r="J4" i="1" s="1"/>
  <c r="G3" i="1"/>
  <c r="J3" i="1" s="1"/>
  <c r="G2" i="1"/>
  <c r="F4" i="14" l="1"/>
  <c r="G3" i="14"/>
  <c r="I3" i="14" s="1"/>
  <c r="K31" i="1"/>
  <c r="L31" i="1" s="1"/>
  <c r="J31" i="1"/>
  <c r="K18" i="1"/>
  <c r="L18" i="1" s="1"/>
  <c r="M18" i="1"/>
  <c r="N18" i="1" s="1"/>
  <c r="F5" i="14" l="1"/>
  <c r="G4" i="14"/>
  <c r="I4" i="14" s="1"/>
  <c r="F6" i="14" l="1"/>
  <c r="G5" i="14"/>
  <c r="I5" i="14" s="1"/>
  <c r="F7" i="14" l="1"/>
  <c r="G6" i="14"/>
  <c r="I6" i="14" s="1"/>
  <c r="F8" i="14" l="1"/>
  <c r="G7" i="14"/>
  <c r="I7" i="14" s="1"/>
  <c r="F9" i="14" l="1"/>
  <c r="G8" i="14"/>
  <c r="I8" i="14" s="1"/>
  <c r="F10" i="14" l="1"/>
  <c r="G9" i="14"/>
  <c r="I9" i="14" s="1"/>
  <c r="F11" i="14" l="1"/>
  <c r="G10" i="14"/>
  <c r="I10" i="14" s="1"/>
  <c r="F12" i="14" l="1"/>
  <c r="G11" i="14"/>
  <c r="I11" i="14" s="1"/>
  <c r="F13" i="14" l="1"/>
  <c r="G12" i="14"/>
  <c r="I12" i="14" s="1"/>
  <c r="F14" i="14" l="1"/>
  <c r="G13" i="14"/>
  <c r="I13" i="14" s="1"/>
  <c r="F15" i="14" l="1"/>
  <c r="G14" i="14"/>
  <c r="I14" i="14" s="1"/>
  <c r="G15" i="14" l="1"/>
  <c r="I15" i="14" s="1"/>
  <c r="F16" i="14"/>
  <c r="F17" i="14" l="1"/>
  <c r="G16" i="14"/>
  <c r="I16" i="14" s="1"/>
  <c r="G17" i="14" l="1"/>
  <c r="I17" i="14" s="1"/>
  <c r="F18" i="14"/>
  <c r="G18" i="14" l="1"/>
  <c r="I18" i="14" s="1"/>
  <c r="F19" i="14"/>
  <c r="G19" i="14" l="1"/>
  <c r="I19" i="14" s="1"/>
  <c r="F20" i="14"/>
  <c r="G20" i="14" l="1"/>
  <c r="I20" i="14" s="1"/>
  <c r="F21" i="14"/>
  <c r="G21" i="14" l="1"/>
  <c r="I21" i="14" s="1"/>
  <c r="F22" i="14"/>
  <c r="G22" i="14" l="1"/>
  <c r="I22" i="14" s="1"/>
  <c r="F23" i="14"/>
  <c r="F24" i="14" l="1"/>
  <c r="G23" i="14"/>
  <c r="I23" i="14" s="1"/>
  <c r="F25" i="14" l="1"/>
  <c r="G24" i="14"/>
  <c r="I24" i="14" s="1"/>
  <c r="F26" i="14" l="1"/>
  <c r="G25" i="14"/>
  <c r="I25" i="14" s="1"/>
  <c r="F27" i="14" l="1"/>
  <c r="G26" i="14"/>
  <c r="I26" i="14" s="1"/>
  <c r="F28" i="14" l="1"/>
  <c r="G27" i="14"/>
  <c r="I27" i="14" s="1"/>
  <c r="F29" i="14" l="1"/>
  <c r="G28" i="14"/>
  <c r="I28" i="14" s="1"/>
  <c r="F30" i="14" l="1"/>
  <c r="G29" i="14"/>
  <c r="I29" i="14" s="1"/>
  <c r="F31" i="14" l="1"/>
  <c r="G30" i="14"/>
  <c r="I30" i="14" s="1"/>
  <c r="F32" i="14" l="1"/>
  <c r="G31" i="14"/>
  <c r="I31" i="14" s="1"/>
  <c r="F33" i="14" l="1"/>
  <c r="G32" i="14"/>
  <c r="I32" i="14" s="1"/>
  <c r="F34" i="14" l="1"/>
  <c r="G33" i="14"/>
  <c r="I33" i="14" s="1"/>
  <c r="F35" i="14" l="1"/>
  <c r="G34" i="14"/>
  <c r="I34" i="14" s="1"/>
  <c r="F36" i="14" l="1"/>
  <c r="G35" i="14"/>
  <c r="I35" i="14" s="1"/>
  <c r="F37" i="14" l="1"/>
  <c r="G36" i="14"/>
  <c r="I36" i="14" s="1"/>
  <c r="F38" i="14" l="1"/>
  <c r="G37" i="14"/>
  <c r="I37" i="14" s="1"/>
  <c r="F39" i="14" l="1"/>
  <c r="G38" i="14"/>
  <c r="I38" i="14" s="1"/>
  <c r="F40" i="14" l="1"/>
  <c r="G39" i="14"/>
  <c r="I39" i="14" s="1"/>
  <c r="F41" i="14" l="1"/>
  <c r="G41" i="14" s="1"/>
  <c r="I41" i="14" s="1"/>
  <c r="G40" i="14"/>
  <c r="I40" i="14" s="1"/>
</calcChain>
</file>

<file path=xl/sharedStrings.xml><?xml version="1.0" encoding="utf-8"?>
<sst xmlns="http://schemas.openxmlformats.org/spreadsheetml/2006/main" count="724" uniqueCount="299">
  <si>
    <t>Item ID</t>
  </si>
  <si>
    <t>Item Name</t>
  </si>
  <si>
    <t>Category</t>
  </si>
  <si>
    <t>Stock In</t>
  </si>
  <si>
    <t>Stock Out</t>
  </si>
  <si>
    <t>Current Stock</t>
  </si>
  <si>
    <t>Reorder Level</t>
  </si>
  <si>
    <t>Supplier</t>
  </si>
  <si>
    <t>I001</t>
  </si>
  <si>
    <t>Grocery</t>
  </si>
  <si>
    <t>I002</t>
  </si>
  <si>
    <t>Shampoo</t>
  </si>
  <si>
    <t>Personal Care</t>
  </si>
  <si>
    <t>I003</t>
  </si>
  <si>
    <t>Biscuits</t>
  </si>
  <si>
    <t>Snacks</t>
  </si>
  <si>
    <t>I004</t>
  </si>
  <si>
    <t>Milk</t>
  </si>
  <si>
    <t>Dairy</t>
  </si>
  <si>
    <t>I005</t>
  </si>
  <si>
    <t>Bread</t>
  </si>
  <si>
    <t>Bakery</t>
  </si>
  <si>
    <t>I006</t>
  </si>
  <si>
    <t>Eggs</t>
  </si>
  <si>
    <t>I007</t>
  </si>
  <si>
    <t>Soap</t>
  </si>
  <si>
    <t>I008</t>
  </si>
  <si>
    <t>Chips</t>
  </si>
  <si>
    <t>I009</t>
  </si>
  <si>
    <t>Beverages</t>
  </si>
  <si>
    <t>I010</t>
  </si>
  <si>
    <t>I011</t>
  </si>
  <si>
    <t>I012</t>
  </si>
  <si>
    <t>I013</t>
  </si>
  <si>
    <t>I014</t>
  </si>
  <si>
    <t>I015</t>
  </si>
  <si>
    <t>I016</t>
  </si>
  <si>
    <t>I017</t>
  </si>
  <si>
    <t>I018</t>
  </si>
  <si>
    <t>I019</t>
  </si>
  <si>
    <t>I020</t>
  </si>
  <si>
    <t>Salt</t>
  </si>
  <si>
    <t>Cooking Oil</t>
  </si>
  <si>
    <t>Frozen Foods</t>
  </si>
  <si>
    <t>Ice Cream</t>
  </si>
  <si>
    <t>Cookies</t>
  </si>
  <si>
    <t>Instant Noodles</t>
  </si>
  <si>
    <t>Packaged Food</t>
  </si>
  <si>
    <t>Garbage Bags</t>
  </si>
  <si>
    <t>Household</t>
  </si>
  <si>
    <t>Mineral Water</t>
  </si>
  <si>
    <t>Tea Powder</t>
  </si>
  <si>
    <t>Chocolate</t>
  </si>
  <si>
    <t>Frozen Chicken</t>
  </si>
  <si>
    <t>Cheese</t>
  </si>
  <si>
    <t>I021</t>
  </si>
  <si>
    <t>I022</t>
  </si>
  <si>
    <t>I023</t>
  </si>
  <si>
    <t>I024</t>
  </si>
  <si>
    <t>I025</t>
  </si>
  <si>
    <t>I026</t>
  </si>
  <si>
    <t>I027</t>
  </si>
  <si>
    <t>I028</t>
  </si>
  <si>
    <t>I029</t>
  </si>
  <si>
    <t>I030</t>
  </si>
  <si>
    <t>I031</t>
  </si>
  <si>
    <t>I032</t>
  </si>
  <si>
    <t>I033</t>
  </si>
  <si>
    <t>I034</t>
  </si>
  <si>
    <t>I035</t>
  </si>
  <si>
    <t>I036</t>
  </si>
  <si>
    <t>I037</t>
  </si>
  <si>
    <t>I038</t>
  </si>
  <si>
    <t>I039</t>
  </si>
  <si>
    <t>I040</t>
  </si>
  <si>
    <t>Detergent Powder</t>
  </si>
  <si>
    <t>Tissue Paper</t>
  </si>
  <si>
    <t>Fruit Juice</t>
  </si>
  <si>
    <t>Soft Drinks</t>
  </si>
  <si>
    <t>Toothpaste</t>
  </si>
  <si>
    <t>Face Wash</t>
  </si>
  <si>
    <t>Cake</t>
  </si>
  <si>
    <t>Butter</t>
  </si>
  <si>
    <t>Subcategory</t>
  </si>
  <si>
    <t>Rice</t>
  </si>
  <si>
    <t>Staples</t>
  </si>
  <si>
    <t>Essentials</t>
  </si>
  <si>
    <t>Edible Oils</t>
  </si>
  <si>
    <t>Meat</t>
  </si>
  <si>
    <t>Hair Care</t>
  </si>
  <si>
    <t>Body Care</t>
  </si>
  <si>
    <t>Oral Care</t>
  </si>
  <si>
    <t>Dishwash Liquid</t>
  </si>
  <si>
    <t>Laundry</t>
  </si>
  <si>
    <t>Kitchen Cleaning</t>
  </si>
  <si>
    <t>Packaged Water</t>
  </si>
  <si>
    <t>Non-Carbonated</t>
  </si>
  <si>
    <t>Packaged Snacks</t>
  </si>
  <si>
    <t>Packaged Bakery</t>
  </si>
  <si>
    <t>Confectionery</t>
  </si>
  <si>
    <t>Fresh Dairy</t>
  </si>
  <si>
    <t>Fresh Bakery</t>
  </si>
  <si>
    <t>Processed Dairy</t>
  </si>
  <si>
    <t>Carbonated Drinks</t>
  </si>
  <si>
    <t>Poultry Products</t>
  </si>
  <si>
    <t>Hot Beverages</t>
  </si>
  <si>
    <t>Frozen Desserts</t>
  </si>
  <si>
    <t>Skin Care</t>
  </si>
  <si>
    <t>Hand Hygiene</t>
  </si>
  <si>
    <t>Utility</t>
  </si>
  <si>
    <t>Paper Goods</t>
  </si>
  <si>
    <t>Potatoes</t>
  </si>
  <si>
    <t>Vegetables</t>
  </si>
  <si>
    <t>Root Vegetables</t>
  </si>
  <si>
    <t>Onions</t>
  </si>
  <si>
    <t>Bananas</t>
  </si>
  <si>
    <t>Fruits</t>
  </si>
  <si>
    <t>Tropical Fruits</t>
  </si>
  <si>
    <t>Oranges</t>
  </si>
  <si>
    <t>Citrus Fruits</t>
  </si>
  <si>
    <t>Spices Mix</t>
  </si>
  <si>
    <t>Aluminium Foil</t>
  </si>
  <si>
    <t>Kitchen Utility</t>
  </si>
  <si>
    <t>Hand Sanitizer</t>
  </si>
  <si>
    <t>Cashews</t>
  </si>
  <si>
    <t>Dry Fruits</t>
  </si>
  <si>
    <t>Spinach</t>
  </si>
  <si>
    <t>Leafy Greens</t>
  </si>
  <si>
    <t>Pickles</t>
  </si>
  <si>
    <t>Preserved Food</t>
  </si>
  <si>
    <t>Glass Cleaner</t>
  </si>
  <si>
    <t>Cleaning</t>
  </si>
  <si>
    <t>AgroFresh Supplies Pvt Ltd</t>
  </si>
  <si>
    <t>GreenLeaf Organics</t>
  </si>
  <si>
    <t>FreshFarm Produce Suppliers</t>
  </si>
  <si>
    <t>ChillFreeze Logistics Ltd</t>
  </si>
  <si>
    <t>ColdChain Proteins Ltd</t>
  </si>
  <si>
    <t>FreshFarm Dairy Ltd</t>
  </si>
  <si>
    <t>DairyDelight Suppliers</t>
  </si>
  <si>
    <t>FarmFresh Poultry Ltd</t>
  </si>
  <si>
    <t>FreshSip Distributors</t>
  </si>
  <si>
    <t>AquaPure Distributors</t>
  </si>
  <si>
    <t>FizzyBev Supply Chain Ltd</t>
  </si>
  <si>
    <t>AssamLeaf Distributors</t>
  </si>
  <si>
    <t>SpiceRoute Imports</t>
  </si>
  <si>
    <t>NutriGrain Suppliers</t>
  </si>
  <si>
    <t>BakeHouse Distributors</t>
  </si>
  <si>
    <t>CrunchTime Foods Ltd</t>
  </si>
  <si>
    <t>ChocoDelight Chocolate Co.</t>
  </si>
  <si>
    <t>CrunchBake Pvt Ltd</t>
  </si>
  <si>
    <t>GlowSkin Distributors</t>
  </si>
  <si>
    <t>SmileCare Wholesale Ltd</t>
  </si>
  <si>
    <t>CarePlus Distribution Ltd</t>
  </si>
  <si>
    <t>HygieneCorp Suppliers</t>
  </si>
  <si>
    <t>CleanHome Supplies Pvt Ltd</t>
  </si>
  <si>
    <t>SoftServe Paper Co.</t>
  </si>
  <si>
    <t>SparkleClean Distributors</t>
  </si>
  <si>
    <t>UtilityPlus Wholesale</t>
  </si>
  <si>
    <t>HomeCare Essentials Ltd</t>
  </si>
  <si>
    <t>QuickBite Foods Pvt Ltd</t>
  </si>
  <si>
    <t>Stock Status</t>
  </si>
  <si>
    <t>Turnover</t>
  </si>
  <si>
    <t>Stock Gap</t>
  </si>
  <si>
    <t>Turnover Category</t>
  </si>
  <si>
    <t>Stock Health Status</t>
  </si>
  <si>
    <t>Grand Total</t>
  </si>
  <si>
    <t>Avg Turnover</t>
  </si>
  <si>
    <t>Total Stock Available</t>
  </si>
  <si>
    <t>Total Stock Received</t>
  </si>
  <si>
    <t>Ready-to-Eat/Instant Food</t>
  </si>
  <si>
    <t>Inventory and Supply Chain Dashboard</t>
  </si>
  <si>
    <t xml:space="preserve">Handwash </t>
  </si>
  <si>
    <t>Total Stock</t>
  </si>
  <si>
    <t>Total Items</t>
  </si>
  <si>
    <t>Reorder Items</t>
  </si>
  <si>
    <t>Stock Out %</t>
  </si>
  <si>
    <t>Cumulative %</t>
  </si>
  <si>
    <t>ABC Category</t>
  </si>
  <si>
    <t>Reorder Priority</t>
  </si>
  <si>
    <t>Rank</t>
  </si>
  <si>
    <t>A</t>
  </si>
  <si>
    <t>B</t>
  </si>
  <si>
    <t>C</t>
  </si>
  <si>
    <t>Insights &amp; Findings</t>
  </si>
  <si>
    <t>1. A-category items contribute the highest share of inventory movement and require strict monitoring and frequent replenishment.</t>
  </si>
  <si>
    <t>2. B-category items show moderate demand and can be managed using periodic review policies.</t>
  </si>
  <si>
    <t>3. C-category items contribute least to movement and can be stocked in bulk with minimal monitoring.</t>
  </si>
  <si>
    <t>4. High-demand items such as vegetables, dairy, and beverages are concentrated in A-category, indicating critical supply chain importance.</t>
  </si>
  <si>
    <t>Prioritizing A-category items can significantly reduce stockout risk and improve inventory efficiency.</t>
  </si>
  <si>
    <t>Key Takeaway</t>
  </si>
  <si>
    <t>No. of Items</t>
  </si>
  <si>
    <t xml:space="preserve">Month </t>
  </si>
  <si>
    <t>Demand</t>
  </si>
  <si>
    <t>3-Month Moving Average</t>
  </si>
  <si>
    <t>January</t>
  </si>
  <si>
    <t>February</t>
  </si>
  <si>
    <t>March</t>
  </si>
  <si>
    <t>April</t>
  </si>
  <si>
    <t>May</t>
  </si>
  <si>
    <t>June</t>
  </si>
  <si>
    <t>NA</t>
  </si>
  <si>
    <t>Row Labels</t>
  </si>
  <si>
    <t>Column Labels</t>
  </si>
  <si>
    <t>Sum of Demand</t>
  </si>
  <si>
    <t>July</t>
  </si>
  <si>
    <t>Declining</t>
  </si>
  <si>
    <t>LATEST DEMAND</t>
  </si>
  <si>
    <t>10 units</t>
  </si>
  <si>
    <t>JULY FORECAST</t>
  </si>
  <si>
    <t>DEMAND TREND</t>
  </si>
  <si>
    <t>Demand Forecasting Analysis - Potatoes</t>
  </si>
  <si>
    <t>• Potato demand declined from 25 units in January to 10 units in June.</t>
  </si>
  <si>
    <t>• The 3-month moving average forecasts July demand at 10 units.</t>
  </si>
  <si>
    <t>• Current demand trend indicates lower replenishment requirements and highlights the need to monitor inventory levels to avoid excess stock.</t>
  </si>
  <si>
    <t>ITEMS ANALYZED</t>
  </si>
  <si>
    <t>TOTAL DEMAND</t>
  </si>
  <si>
    <t>TOP DEMAND ITEM</t>
  </si>
  <si>
    <t>AVG MONTHLY DEMAND</t>
  </si>
  <si>
    <t>• Potatoes recorded the highest cumulative demand (95 units), followed by Onions (90 units), making them the most critical fast-moving inventory items.</t>
  </si>
  <si>
    <t>• Fruit Juice and Handwash maintained relatively strong demand throughout the six-month period, indicating consistent customer consumption patterns.</t>
  </si>
  <si>
    <t>• Demand levels generally declined from January–March to May–June across most items, suggesting the need for periodic inventory review and demand monitoring.</t>
  </si>
  <si>
    <t>• The analysis highlights priority items for replenishment planning and supports inventory optimization decisions.</t>
  </si>
  <si>
    <t>Potatoes (95)</t>
  </si>
  <si>
    <t>Inventory Demand Forecast Analysis</t>
  </si>
  <si>
    <t xml:space="preserve">                                                                                                                                          Supplier Performance Analysis</t>
  </si>
  <si>
    <t xml:space="preserve">                                                                                                                                        Inventory Turnover Performance Analysis</t>
  </si>
  <si>
    <t>Grocery, Household, and Personal Care categories account for the largest share of inventory holdings and require continuous monitoring for optimal stock management.</t>
  </si>
  <si>
    <t>A small number of suppliers contribute a significant portion of inventory, making supplier performance monitoring essential for supply chain stability.</t>
  </si>
  <si>
    <t>Fast-moving products such as Bread, Milk, and Potatoes require proactive replenishment planning to maintain product availability.</t>
  </si>
  <si>
    <t>Executive Summary</t>
  </si>
  <si>
    <t>• Inventory analysis identified a small group of high-priority products that drive the majority of inventory movement.</t>
  </si>
  <si>
    <t>• Grocery, Household, and Personal Care categories account for the largest share of inventory holdings.</t>
  </si>
  <si>
    <t>• Fast-moving products such as Bread, Milk, Potatoes, and Onions require frequent replenishment to maintain availability.</t>
  </si>
  <si>
    <t>• Demand forecasting indicates stable future demand for key inventory items, supporting proactive inventory planning.</t>
  </si>
  <si>
    <t xml:space="preserve"> Key Findings</t>
  </si>
  <si>
    <t>Potatoes and Onions remain the most significant fast-moving products and should be prioritized for inventory planning and replenishment decisions.</t>
  </si>
  <si>
    <t>Potato demand declined steadily over the six-month period and is forecasted to stabilize at approximately 10 units per month.</t>
  </si>
  <si>
    <t>INVENTORY AND SUPPLY CHAIN ANALYTICS PROJECT</t>
  </si>
  <si>
    <t>Project Title :</t>
  </si>
  <si>
    <t>Inventory and Supply Chain Analytics Dashboard</t>
  </si>
  <si>
    <t>Prepared By :</t>
  </si>
  <si>
    <t>Parismita Pathak</t>
  </si>
  <si>
    <t>Tools Used :</t>
  </si>
  <si>
    <t>Microsoft Excel</t>
  </si>
  <si>
    <t>Project Type :</t>
  </si>
  <si>
    <t>Inventory Analytics and Supply Chain Management</t>
  </si>
  <si>
    <t>• To evaluate supplier contribution and procurement dependence</t>
  </si>
  <si>
    <t>• To analyze inventory distribution across product categories</t>
  </si>
  <si>
    <t>• To identify fast-moving inventory using turnover analysis</t>
  </si>
  <si>
    <t>• To classify inventory items using ABC Analysis</t>
  </si>
  <si>
    <t>• To analyze demand trends and forecast future demand</t>
  </si>
  <si>
    <t>• To develop an interactive dashboard for inventory monitoring and decision-making</t>
  </si>
  <si>
    <t>• Pivot Tables</t>
  </si>
  <si>
    <t>• Pivot Charts</t>
  </si>
  <si>
    <t>• KPI Cards</t>
  </si>
  <si>
    <t>• Conditional Formatting</t>
  </si>
  <si>
    <t>• ABC Analysis</t>
  </si>
  <si>
    <t>• Inventory Turnover Analysis</t>
  </si>
  <si>
    <t>• Demand Forecasting (3-Month Moving Average)</t>
  </si>
  <si>
    <t>• Interactive Slicers</t>
  </si>
  <si>
    <t>• Executive Dashboard Design</t>
  </si>
  <si>
    <t xml:space="preserve"> PROJECT INFORMATION</t>
  </si>
  <si>
    <t xml:space="preserve"> PROJECT OBJECTIVES</t>
  </si>
  <si>
    <t xml:space="preserve"> ANALYTICAL TECHNIQUES USED</t>
  </si>
  <si>
    <t xml:space="preserve"> WORKBOOK CONTENTS</t>
  </si>
  <si>
    <t xml:space="preserve"> Sheet Name</t>
  </si>
  <si>
    <t xml:space="preserve"> Executive Dashboard</t>
  </si>
  <si>
    <t xml:space="preserve"> ABC Analysis</t>
  </si>
  <si>
    <t xml:space="preserve"> Category Analysis</t>
  </si>
  <si>
    <t xml:space="preserve"> Supplier Analysis</t>
  </si>
  <si>
    <t xml:space="preserve"> Inventory Turnover Analysis</t>
  </si>
  <si>
    <t xml:space="preserve"> Monthly Demand Data</t>
  </si>
  <si>
    <t xml:space="preserve"> Forecast Analysis</t>
  </si>
  <si>
    <t xml:space="preserve"> Raw Data</t>
  </si>
  <si>
    <t xml:space="preserve"> Calculations</t>
  </si>
  <si>
    <t>Purpose</t>
  </si>
  <si>
    <t>Inventory performance review</t>
  </si>
  <si>
    <t>Source inventory dataset</t>
  </si>
  <si>
    <t>Supporting calculations</t>
  </si>
  <si>
    <t>Inventory classification and prioritization</t>
  </si>
  <si>
    <t>Category-wise inventory analysis</t>
  </si>
  <si>
    <t>Supplier contribution analysis</t>
  </si>
  <si>
    <t>Fast-moving inventory analysis</t>
  </si>
  <si>
    <t>Demand forecasting</t>
  </si>
  <si>
    <t>Product demand trend analysis</t>
  </si>
  <si>
    <t>PROJECT SUMMARY</t>
  </si>
  <si>
    <t>• This project applies inventory analytics techniques to evaluate stock distribution, supplier performance, inventory turnover, inventory prioritization, and demand forecasting.</t>
  </si>
  <si>
    <t>• Interactive dashboards and visualizations were developed to support data-driven inventory management and supply chain decision-making.</t>
  </si>
  <si>
    <t>KEY SKILLS DEMONSTRATED</t>
  </si>
  <si>
    <t>• Inventory Analytics</t>
  </si>
  <si>
    <t>• Supply Chain Analytics</t>
  </si>
  <si>
    <t>• Data Visualization</t>
  </si>
  <si>
    <t>• KPI Reporting</t>
  </si>
  <si>
    <t>• Demand Forecasting</t>
  </si>
  <si>
    <t>• Business Analysis</t>
  </si>
  <si>
    <t>• Dashboard Development</t>
  </si>
  <si>
    <t>• Excel Reporting</t>
  </si>
  <si>
    <r>
      <t xml:space="preserve">                                                                                                                                 Category-Wise Inventory Analysis</t>
    </r>
    <r>
      <rPr>
        <b/>
        <sz val="12"/>
        <color theme="1"/>
        <rFont val="Calibri"/>
        <family val="2"/>
        <scheme val="minor"/>
      </rPr>
      <t xml:space="preserve">   </t>
    </r>
    <r>
      <rPr>
        <b/>
        <sz val="14"/>
        <color theme="1"/>
        <rFont val="Calibri"/>
        <family val="2"/>
        <scheme val="minor"/>
      </rPr>
      <t xml:space="preserve">                                                                                                                                                                                        </t>
    </r>
  </si>
  <si>
    <r>
      <t xml:space="preserve">                               </t>
    </r>
    <r>
      <rPr>
        <b/>
        <sz val="14"/>
        <color theme="1"/>
        <rFont val="Calibri"/>
        <family val="2"/>
        <scheme val="minor"/>
      </rPr>
      <t>ABC Analysis - Inventory Classification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</si>
</sst>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name val="Calibri"/>
    </font>
    <font>
      <sz val="8"/>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0"/>
      <color theme="1"/>
      <name val="Calibri"/>
      <family val="2"/>
      <scheme val="minor"/>
    </font>
    <font>
      <b/>
      <sz val="11"/>
      <color theme="1"/>
      <name val="Calibri"/>
      <family val="2"/>
      <scheme val="minor"/>
    </font>
    <font>
      <b/>
      <sz val="11"/>
      <name val="Calibri"/>
      <family val="2"/>
    </font>
    <font>
      <sz val="12"/>
      <color theme="1"/>
      <name val="Calibri"/>
      <family val="2"/>
      <scheme val="minor"/>
    </font>
    <font>
      <b/>
      <i/>
      <sz val="11"/>
      <color theme="1"/>
      <name val="Calibri"/>
      <family val="2"/>
      <scheme val="minor"/>
    </font>
    <font>
      <b/>
      <sz val="14"/>
      <color theme="1"/>
      <name val="Calibri"/>
      <family val="2"/>
      <scheme val="minor"/>
    </font>
    <font>
      <sz val="14"/>
      <color theme="1"/>
      <name val="Calibri"/>
      <family val="2"/>
      <scheme val="minor"/>
    </font>
    <font>
      <b/>
      <sz val="18"/>
      <color theme="1"/>
      <name val="Calibri"/>
      <family val="2"/>
      <scheme val="minor"/>
    </font>
    <font>
      <b/>
      <sz val="20"/>
      <color theme="1"/>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1" fillId="0" borderId="0" xfId="0" applyFont="1"/>
    <xf numFmtId="0" fontId="0" fillId="0" borderId="0" xfId="0" pivotButton="1"/>
    <xf numFmtId="0" fontId="0" fillId="0" borderId="0" xfId="0" applyAlignment="1">
      <alignment horizontal="left"/>
    </xf>
    <xf numFmtId="0" fontId="3" fillId="0" borderId="0" xfId="0" applyFont="1" applyAlignment="1">
      <alignment horizontal="center"/>
    </xf>
    <xf numFmtId="0" fontId="4" fillId="0" borderId="0" xfId="0" applyFont="1" applyAlignment="1">
      <alignment horizontal="center"/>
    </xf>
    <xf numFmtId="0" fontId="5" fillId="0" borderId="0" xfId="0" applyFont="1"/>
    <xf numFmtId="0" fontId="3" fillId="0" borderId="1" xfId="0" applyFont="1" applyBorder="1" applyAlignment="1">
      <alignment horizontal="center"/>
    </xf>
    <xf numFmtId="0" fontId="0" fillId="0" borderId="2" xfId="0" applyBorder="1"/>
    <xf numFmtId="0" fontId="0" fillId="0" borderId="4" xfId="0" applyBorder="1"/>
    <xf numFmtId="0" fontId="6" fillId="0" borderId="3" xfId="0" applyFont="1" applyBorder="1" applyAlignment="1">
      <alignment vertical="center"/>
    </xf>
    <xf numFmtId="0" fontId="0" fillId="0" borderId="0" xfId="0" applyAlignment="1">
      <alignment horizontal="center"/>
    </xf>
    <xf numFmtId="0" fontId="8" fillId="0" borderId="0" xfId="0" applyFont="1"/>
    <xf numFmtId="10" fontId="0" fillId="0" borderId="0" xfId="0" applyNumberFormat="1"/>
    <xf numFmtId="0" fontId="8" fillId="0" borderId="0" xfId="0" applyFont="1" applyAlignment="1">
      <alignment horizontal="center"/>
    </xf>
    <xf numFmtId="0" fontId="7" fillId="0" borderId="0" xfId="0" applyFont="1"/>
    <xf numFmtId="0" fontId="9" fillId="0" borderId="0" xfId="0" applyFont="1" applyAlignment="1">
      <alignment vertical="center"/>
    </xf>
    <xf numFmtId="0" fontId="10" fillId="0" borderId="0" xfId="0" applyFont="1"/>
    <xf numFmtId="0" fontId="0" fillId="0" borderId="0" xfId="0" applyAlignment="1">
      <alignment horizontal="right"/>
    </xf>
    <xf numFmtId="0" fontId="11" fillId="0" borderId="0" xfId="0" applyFont="1" applyAlignment="1">
      <alignment horizontal="center"/>
    </xf>
    <xf numFmtId="0" fontId="0" fillId="0" borderId="0" xfId="0"/>
    <xf numFmtId="0" fontId="7" fillId="0" borderId="0" xfId="0" applyFont="1"/>
    <xf numFmtId="0" fontId="7" fillId="0" borderId="0" xfId="0" applyFont="1" applyAlignment="1">
      <alignment horizontal="left"/>
    </xf>
    <xf numFmtId="0" fontId="0" fillId="0" borderId="0" xfId="0" applyAlignment="1">
      <alignment horizontal="left"/>
    </xf>
    <xf numFmtId="0" fontId="13" fillId="0" borderId="0" xfId="0" applyFont="1" applyAlignment="1">
      <alignment horizontal="center"/>
    </xf>
    <xf numFmtId="0" fontId="0" fillId="0" borderId="0" xfId="0" applyAlignment="1">
      <alignment horizontal="center"/>
    </xf>
    <xf numFmtId="0" fontId="14" fillId="0" borderId="0" xfId="0" applyFont="1" applyAlignment="1">
      <alignment horizontal="center"/>
    </xf>
    <xf numFmtId="0" fontId="4" fillId="0" borderId="0" xfId="0" applyFont="1" applyAlignment="1">
      <alignment horizontal="center"/>
    </xf>
    <xf numFmtId="0" fontId="10" fillId="0" borderId="0" xfId="0" applyFont="1"/>
    <xf numFmtId="0" fontId="7" fillId="0" borderId="0" xfId="0" applyFont="1" applyAlignment="1">
      <alignment horizontal="center"/>
    </xf>
    <xf numFmtId="0" fontId="11" fillId="0" borderId="0" xfId="0" applyFont="1"/>
    <xf numFmtId="0" fontId="11" fillId="0" borderId="0" xfId="0" applyFont="1" applyAlignment="1">
      <alignment horizontal="left"/>
    </xf>
    <xf numFmtId="0" fontId="11" fillId="0" borderId="0" xfId="0" applyFont="1" applyAlignment="1">
      <alignment horizontal="center"/>
    </xf>
    <xf numFmtId="0" fontId="7" fillId="0" borderId="5" xfId="0" applyFont="1" applyBorder="1" applyAlignment="1">
      <alignment vertical="center"/>
    </xf>
    <xf numFmtId="0" fontId="7" fillId="0" borderId="5" xfId="0" applyFont="1" applyBorder="1" applyAlignment="1">
      <alignment horizontal="left" vertical="center"/>
    </xf>
    <xf numFmtId="0" fontId="7" fillId="0" borderId="5" xfId="0" applyFont="1" applyBorder="1"/>
    <xf numFmtId="0" fontId="7" fillId="0" borderId="5" xfId="0" applyFont="1" applyBorder="1" applyAlignment="1">
      <alignment horizontal="left"/>
    </xf>
    <xf numFmtId="0" fontId="12" fillId="0" borderId="0" xfId="0" applyFont="1" applyAlignment="1">
      <alignment horizontal="center"/>
    </xf>
    <xf numFmtId="0" fontId="7" fillId="0" borderId="5" xfId="0" applyFont="1" applyBorder="1" applyAlignment="1">
      <alignment horizontal="center"/>
    </xf>
  </cellXfs>
  <cellStyles count="1">
    <cellStyle name="Normal" xfId="0" builtinId="0"/>
  </cellStyles>
  <dxfs count="19">
    <dxf>
      <fill>
        <patternFill>
          <bgColor rgb="FFFF0000"/>
        </patternFill>
      </fill>
    </dxf>
    <dxf>
      <fill>
        <patternFill>
          <bgColor rgb="FFFF9933"/>
        </patternFill>
      </fill>
    </dxf>
    <dxf>
      <fill>
        <patternFill>
          <bgColor rgb="FFFFFF00"/>
        </patternFill>
      </fill>
    </dxf>
    <dxf>
      <fill>
        <patternFill>
          <bgColor rgb="FF66FF33"/>
        </patternFill>
      </fill>
    </dxf>
    <dxf>
      <fill>
        <patternFill>
          <bgColor rgb="FF00CC66"/>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00FF00"/>
        </patternFill>
      </fill>
    </dxf>
    <dxf>
      <fill>
        <patternFill>
          <bgColor rgb="FFFFFF00"/>
        </patternFill>
      </fill>
    </dxf>
    <dxf>
      <fill>
        <patternFill>
          <bgColor rgb="FFFF3300"/>
        </patternFill>
      </fill>
    </dxf>
    <dxf>
      <fill>
        <patternFill>
          <bgColor rgb="FF00B050"/>
        </patternFill>
      </fill>
    </dxf>
    <dxf>
      <fill>
        <patternFill>
          <bgColor rgb="FFFF0000"/>
        </patternFill>
      </fill>
    </dxf>
    <dxf>
      <fill>
        <patternFill>
          <bgColor rgb="FF92D050"/>
        </patternFill>
      </fill>
    </dxf>
    <dxf>
      <fill>
        <patternFill>
          <bgColor rgb="FF00B050"/>
        </patternFill>
      </fill>
    </dxf>
    <dxf>
      <fill>
        <patternFill>
          <bgColor rgb="FF92D050"/>
        </patternFill>
      </fill>
    </dxf>
  </dxfs>
  <tableStyles count="0" defaultTableStyle="TableStyleMedium9" defaultPivotStyle="PivotStyleLight16"/>
  <colors>
    <mruColors>
      <color rgb="FF00CC00"/>
      <color rgb="FF00B050"/>
      <color rgb="FFFF3300"/>
      <color rgb="FF66FF33"/>
      <color rgb="FFFF9933"/>
      <color rgb="FFFF0000"/>
      <color rgb="FF00CC66"/>
      <color rgb="FF003300"/>
      <color rgb="FFFFFF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Inventory Analysis &amp; Supply Chain Dashboard Using Excel.xlsx]Category Analysis!PivotTable1</c:name>
    <c:fmtId val="7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Stock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00B050"/>
          </a:solid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13548550730835E-2"/>
          <c:y val="0.19136726958911623"/>
          <c:w val="0.96423350175690581"/>
          <c:h val="0.70287013390751329"/>
        </c:manualLayout>
      </c:layout>
      <c:barChart>
        <c:barDir val="col"/>
        <c:grouping val="clustered"/>
        <c:varyColors val="0"/>
        <c:ser>
          <c:idx val="0"/>
          <c:order val="0"/>
          <c:tx>
            <c:strRef>
              <c:f>'Category Analysis'!$B$3</c:f>
              <c:strCache>
                <c:ptCount val="1"/>
                <c:pt idx="0">
                  <c:v>Total</c:v>
                </c:pt>
              </c:strCache>
            </c:strRef>
          </c:tx>
          <c:spPr>
            <a:solidFill>
              <a:srgbClr val="00B050"/>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Analysis'!$A$4:$A$15</c:f>
              <c:strCache>
                <c:ptCount val="11"/>
                <c:pt idx="0">
                  <c:v>Grocery</c:v>
                </c:pt>
                <c:pt idx="1">
                  <c:v>Household</c:v>
                </c:pt>
                <c:pt idx="2">
                  <c:v>Personal Care</c:v>
                </c:pt>
                <c:pt idx="3">
                  <c:v>Dairy</c:v>
                </c:pt>
                <c:pt idx="4">
                  <c:v>Beverages</c:v>
                </c:pt>
                <c:pt idx="5">
                  <c:v>Snacks</c:v>
                </c:pt>
                <c:pt idx="6">
                  <c:v>Frozen Foods</c:v>
                </c:pt>
                <c:pt idx="7">
                  <c:v>Bakery</c:v>
                </c:pt>
                <c:pt idx="8">
                  <c:v>Fruits</c:v>
                </c:pt>
                <c:pt idx="9">
                  <c:v>Vegetables</c:v>
                </c:pt>
                <c:pt idx="10">
                  <c:v>Packaged Food</c:v>
                </c:pt>
              </c:strCache>
            </c:strRef>
          </c:cat>
          <c:val>
            <c:numRef>
              <c:f>'Category Analysis'!$B$4:$B$15</c:f>
              <c:numCache>
                <c:formatCode>General</c:formatCode>
                <c:ptCount val="11"/>
                <c:pt idx="0">
                  <c:v>370</c:v>
                </c:pt>
                <c:pt idx="1">
                  <c:v>300</c:v>
                </c:pt>
                <c:pt idx="2">
                  <c:v>300</c:v>
                </c:pt>
                <c:pt idx="3">
                  <c:v>175</c:v>
                </c:pt>
                <c:pt idx="4">
                  <c:v>165</c:v>
                </c:pt>
                <c:pt idx="5">
                  <c:v>145</c:v>
                </c:pt>
                <c:pt idx="6">
                  <c:v>130</c:v>
                </c:pt>
                <c:pt idx="7">
                  <c:v>125</c:v>
                </c:pt>
                <c:pt idx="8">
                  <c:v>90</c:v>
                </c:pt>
                <c:pt idx="9">
                  <c:v>85</c:v>
                </c:pt>
                <c:pt idx="10">
                  <c:v>40</c:v>
                </c:pt>
              </c:numCache>
            </c:numRef>
          </c:val>
          <c:extLst>
            <c:ext xmlns:c16="http://schemas.microsoft.com/office/drawing/2014/chart" uri="{C3380CC4-5D6E-409C-BE32-E72D297353CC}">
              <c16:uniqueId val="{00000000-53A0-4290-8748-C77231110ECE}"/>
            </c:ext>
          </c:extLst>
        </c:ser>
        <c:dLbls>
          <c:showLegendKey val="0"/>
          <c:showVal val="1"/>
          <c:showCatName val="0"/>
          <c:showSerName val="0"/>
          <c:showPercent val="0"/>
          <c:showBubbleSize val="0"/>
        </c:dLbls>
        <c:gapWidth val="160"/>
        <c:axId val="2118028336"/>
        <c:axId val="2118022096"/>
      </c:barChart>
      <c:catAx>
        <c:axId val="2118028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22096"/>
        <c:crosses val="autoZero"/>
        <c:auto val="1"/>
        <c:lblAlgn val="ctr"/>
        <c:lblOffset val="100"/>
        <c:noMultiLvlLbl val="0"/>
      </c:catAx>
      <c:valAx>
        <c:axId val="2118022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2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Inventory Analysis &amp; Supply Chain Dashboard Using Excel.xlsx]Supplier Analysis!PivotTable2</c:name>
    <c:fmtId val="2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Supplier</a:t>
            </a:r>
            <a:r>
              <a:rPr lang="en-US" baseline="0"/>
              <a:t> Contribution</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003300"/>
          </a:solidFill>
          <a:ln>
            <a:solidFill>
              <a:schemeClr val="accent1"/>
            </a:solidFill>
          </a:ln>
          <a:effectLst/>
          <a:sp3d>
            <a:contourClr>
              <a:schemeClr val="accent1"/>
            </a:contourClr>
          </a:sp3d>
        </c:spPr>
        <c:marker>
          <c:spPr>
            <a:solidFill>
              <a:schemeClr val="accent1"/>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 Analysis'!$B$3</c:f>
              <c:strCache>
                <c:ptCount val="1"/>
                <c:pt idx="0">
                  <c:v>Total</c:v>
                </c:pt>
              </c:strCache>
            </c:strRef>
          </c:tx>
          <c:spPr>
            <a:solidFill>
              <a:srgbClr val="00B050"/>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'Supplier Analysis'!$A$4:$A$14</c:f>
              <c:strCache>
                <c:ptCount val="10"/>
                <c:pt idx="0">
                  <c:v>AgroFresh Supplies Pvt Ltd</c:v>
                </c:pt>
                <c:pt idx="1">
                  <c:v>HygieneCorp Suppliers</c:v>
                </c:pt>
                <c:pt idx="2">
                  <c:v>FreshFarm Produce Suppliers</c:v>
                </c:pt>
                <c:pt idx="3">
                  <c:v>HomeCare Essentials Ltd</c:v>
                </c:pt>
                <c:pt idx="4">
                  <c:v>SpiceRoute Imports</c:v>
                </c:pt>
                <c:pt idx="5">
                  <c:v>CrunchBake Pvt Ltd</c:v>
                </c:pt>
                <c:pt idx="6">
                  <c:v>FreshFarm Dairy Ltd</c:v>
                </c:pt>
                <c:pt idx="7">
                  <c:v>ColdChain Proteins Ltd</c:v>
                </c:pt>
                <c:pt idx="8">
                  <c:v>BakeHouse Distributors</c:v>
                </c:pt>
                <c:pt idx="9">
                  <c:v>DairyDelight Suppliers</c:v>
                </c:pt>
              </c:strCache>
            </c:strRef>
          </c:cat>
          <c:val>
            <c:numRef>
              <c:f>'Supplier Analysis'!$B$4:$B$14</c:f>
              <c:numCache>
                <c:formatCode>General</c:formatCode>
                <c:ptCount val="10"/>
                <c:pt idx="0">
                  <c:v>490</c:v>
                </c:pt>
                <c:pt idx="1">
                  <c:v>290</c:v>
                </c:pt>
                <c:pt idx="2">
                  <c:v>220</c:v>
                </c:pt>
                <c:pt idx="3">
                  <c:v>210</c:v>
                </c:pt>
                <c:pt idx="4">
                  <c:v>180</c:v>
                </c:pt>
                <c:pt idx="5">
                  <c:v>160</c:v>
                </c:pt>
                <c:pt idx="6">
                  <c:v>160</c:v>
                </c:pt>
                <c:pt idx="7">
                  <c:v>150</c:v>
                </c:pt>
                <c:pt idx="8">
                  <c:v>150</c:v>
                </c:pt>
                <c:pt idx="9">
                  <c:v>140</c:v>
                </c:pt>
              </c:numCache>
            </c:numRef>
          </c:val>
          <c:extLst>
            <c:ext xmlns:c16="http://schemas.microsoft.com/office/drawing/2014/chart" uri="{C3380CC4-5D6E-409C-BE32-E72D297353CC}">
              <c16:uniqueId val="{00000000-460C-44F8-891D-D735A0376731}"/>
            </c:ext>
          </c:extLst>
        </c:ser>
        <c:dLbls>
          <c:showLegendKey val="0"/>
          <c:showVal val="1"/>
          <c:showCatName val="0"/>
          <c:showSerName val="0"/>
          <c:showPercent val="0"/>
          <c:showBubbleSize val="0"/>
        </c:dLbls>
        <c:gapWidth val="160"/>
        <c:axId val="2121650512"/>
        <c:axId val="2121650992"/>
      </c:barChart>
      <c:catAx>
        <c:axId val="2121650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650992"/>
        <c:crosses val="autoZero"/>
        <c:auto val="1"/>
        <c:lblAlgn val="ctr"/>
        <c:lblOffset val="100"/>
        <c:noMultiLvlLbl val="0"/>
      </c:catAx>
      <c:valAx>
        <c:axId val="212165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65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Inventory Analysis &amp; Supply Chain Dashboard Using Excel.xlsx]Inventory Turnover Analysis!PivotTable3</c:name>
    <c:fmtId val="4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10 Fast Moving Items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00B050"/>
          </a:solid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innerShdw blurRad="114300">
              <a:schemeClr val="accent1"/>
            </a:innerShdw>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0154315181592E-2"/>
          <c:y val="0.19661776647076326"/>
          <c:w val="0.94234142233927243"/>
          <c:h val="0.65156322837839686"/>
        </c:manualLayout>
      </c:layout>
      <c:barChart>
        <c:barDir val="col"/>
        <c:grouping val="clustered"/>
        <c:varyColors val="0"/>
        <c:ser>
          <c:idx val="0"/>
          <c:order val="0"/>
          <c:tx>
            <c:strRef>
              <c:f>'Inventory Turnover Analysis'!$B$3</c:f>
              <c:strCache>
                <c:ptCount val="1"/>
                <c:pt idx="0">
                  <c:v>Total</c:v>
                </c:pt>
              </c:strCache>
            </c:strRef>
          </c:tx>
          <c:spPr>
            <a:solidFill>
              <a:srgbClr val="00B050"/>
            </a:solidFill>
            <a:ln>
              <a:noFill/>
            </a:ln>
            <a:effectLst>
              <a:innerShdw blurRad="114300">
                <a:schemeClr val="accent1"/>
              </a:innerShdw>
            </a:effectLst>
          </c:spPr>
          <c:invertIfNegative val="0"/>
          <c:dLbls>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'Inventory Turnover Analysis'!$A$4:$A$13</c:f>
              <c:strCache>
                <c:ptCount val="10"/>
                <c:pt idx="0">
                  <c:v>Bread</c:v>
                </c:pt>
                <c:pt idx="1">
                  <c:v>Milk</c:v>
                </c:pt>
                <c:pt idx="2">
                  <c:v>Potatoes</c:v>
                </c:pt>
                <c:pt idx="3">
                  <c:v>Spinach</c:v>
                </c:pt>
                <c:pt idx="4">
                  <c:v>Eggs</c:v>
                </c:pt>
                <c:pt idx="5">
                  <c:v>Onions</c:v>
                </c:pt>
                <c:pt idx="6">
                  <c:v>Fruit Juice</c:v>
                </c:pt>
                <c:pt idx="7">
                  <c:v>Chips</c:v>
                </c:pt>
                <c:pt idx="8">
                  <c:v>Handwash </c:v>
                </c:pt>
                <c:pt idx="9">
                  <c:v>Hand Sanitizer</c:v>
                </c:pt>
              </c:strCache>
            </c:strRef>
          </c:cat>
          <c:val>
            <c:numRef>
              <c:f>'Inventory Turnover Analysis'!$B$4:$B$13</c:f>
              <c:numCache>
                <c:formatCode>General</c:formatCode>
                <c:ptCount val="10"/>
                <c:pt idx="0">
                  <c:v>7</c:v>
                </c:pt>
                <c:pt idx="1">
                  <c:v>5</c:v>
                </c:pt>
                <c:pt idx="2">
                  <c:v>3.8</c:v>
                </c:pt>
                <c:pt idx="3">
                  <c:v>3.5</c:v>
                </c:pt>
                <c:pt idx="4">
                  <c:v>2.3333333333333335</c:v>
                </c:pt>
                <c:pt idx="5">
                  <c:v>2.25</c:v>
                </c:pt>
                <c:pt idx="6">
                  <c:v>2</c:v>
                </c:pt>
                <c:pt idx="7">
                  <c:v>2</c:v>
                </c:pt>
                <c:pt idx="8">
                  <c:v>2</c:v>
                </c:pt>
                <c:pt idx="9">
                  <c:v>1.8571428571428572</c:v>
                </c:pt>
              </c:numCache>
            </c:numRef>
          </c:val>
          <c:extLst>
            <c:ext xmlns:c16="http://schemas.microsoft.com/office/drawing/2014/chart" uri="{C3380CC4-5D6E-409C-BE32-E72D297353CC}">
              <c16:uniqueId val="{00000000-F29D-46C1-A299-717311EC8E53}"/>
            </c:ext>
          </c:extLst>
        </c:ser>
        <c:dLbls>
          <c:showLegendKey val="0"/>
          <c:showVal val="1"/>
          <c:showCatName val="0"/>
          <c:showSerName val="0"/>
          <c:showPercent val="0"/>
          <c:showBubbleSize val="0"/>
        </c:dLbls>
        <c:gapWidth val="160"/>
        <c:axId val="2118021616"/>
        <c:axId val="2118026416"/>
      </c:barChart>
      <c:catAx>
        <c:axId val="2118021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26416"/>
        <c:crosses val="autoZero"/>
        <c:auto val="0"/>
        <c:lblAlgn val="ctr"/>
        <c:lblOffset val="100"/>
        <c:noMultiLvlLbl val="0"/>
      </c:catAx>
      <c:valAx>
        <c:axId val="211802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2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Inventory Analysis &amp; Supply Chain Dashboard Using Excel.xlsx]ABC Analysis!PivotTable2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ABC Inventory Classification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'ABC Analysis'!$K$5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E4-4E1B-93F7-BF8E5518DA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E4-4E1B-93F7-BF8E5518DA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E4-4E1B-93F7-BF8E5518DA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'ABC Analysis'!$J$6:$J$8</c:f>
              <c:strCache>
                <c:ptCount val="3"/>
                <c:pt idx="0">
                  <c:v>A</c:v>
                </c:pt>
                <c:pt idx="1">
                  <c:v>B</c:v>
                </c:pt>
                <c:pt idx="2">
                  <c:v>C</c:v>
                </c:pt>
              </c:strCache>
            </c:strRef>
          </c:cat>
          <c:val>
            <c:numRef>
              <c:f>'ABC Analysis'!$K$6:$K$8</c:f>
              <c:numCache>
                <c:formatCode>General</c:formatCode>
                <c:ptCount val="3"/>
                <c:pt idx="0">
                  <c:v>20</c:v>
                </c:pt>
                <c:pt idx="1">
                  <c:v>10</c:v>
                </c:pt>
                <c:pt idx="2">
                  <c:v>10</c:v>
                </c:pt>
              </c:numCache>
            </c:numRef>
          </c:val>
          <c:extLst>
            <c:ext xmlns:c16="http://schemas.microsoft.com/office/drawing/2014/chart" uri="{C3380CC4-5D6E-409C-BE32-E72D297353CC}">
              <c16:uniqueId val="{00000000-1A57-4643-BD1D-1E9A516D89B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Inventory Analysis &amp; Supply Chain Dashboard Using Excel.xlsx]Category Analysis!PivotTable1</c:name>
    <c:fmtId val="4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Stock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00B05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solidFill>
              <a:srgbClr val="00B050"/>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Analysis'!$A$4:$A$15</c:f>
              <c:strCache>
                <c:ptCount val="11"/>
                <c:pt idx="0">
                  <c:v>Grocery</c:v>
                </c:pt>
                <c:pt idx="1">
                  <c:v>Household</c:v>
                </c:pt>
                <c:pt idx="2">
                  <c:v>Personal Care</c:v>
                </c:pt>
                <c:pt idx="3">
                  <c:v>Dairy</c:v>
                </c:pt>
                <c:pt idx="4">
                  <c:v>Beverages</c:v>
                </c:pt>
                <c:pt idx="5">
                  <c:v>Snacks</c:v>
                </c:pt>
                <c:pt idx="6">
                  <c:v>Frozen Foods</c:v>
                </c:pt>
                <c:pt idx="7">
                  <c:v>Bakery</c:v>
                </c:pt>
                <c:pt idx="8">
                  <c:v>Fruits</c:v>
                </c:pt>
                <c:pt idx="9">
                  <c:v>Vegetables</c:v>
                </c:pt>
                <c:pt idx="10">
                  <c:v>Packaged Food</c:v>
                </c:pt>
              </c:strCache>
            </c:strRef>
          </c:cat>
          <c:val>
            <c:numRef>
              <c:f>'Category Analysis'!$B$4:$B$15</c:f>
              <c:numCache>
                <c:formatCode>General</c:formatCode>
                <c:ptCount val="11"/>
                <c:pt idx="0">
                  <c:v>370</c:v>
                </c:pt>
                <c:pt idx="1">
                  <c:v>300</c:v>
                </c:pt>
                <c:pt idx="2">
                  <c:v>300</c:v>
                </c:pt>
                <c:pt idx="3">
                  <c:v>175</c:v>
                </c:pt>
                <c:pt idx="4">
                  <c:v>165</c:v>
                </c:pt>
                <c:pt idx="5">
                  <c:v>145</c:v>
                </c:pt>
                <c:pt idx="6">
                  <c:v>130</c:v>
                </c:pt>
                <c:pt idx="7">
                  <c:v>125</c:v>
                </c:pt>
                <c:pt idx="8">
                  <c:v>90</c:v>
                </c:pt>
                <c:pt idx="9">
                  <c:v>85</c:v>
                </c:pt>
                <c:pt idx="10">
                  <c:v>40</c:v>
                </c:pt>
              </c:numCache>
            </c:numRef>
          </c:val>
          <c:extLst>
            <c:ext xmlns:c16="http://schemas.microsoft.com/office/drawing/2014/chart" uri="{C3380CC4-5D6E-409C-BE32-E72D297353CC}">
              <c16:uniqueId val="{00000000-DB58-4FC1-A206-CEDB84C95F78}"/>
            </c:ext>
          </c:extLst>
        </c:ser>
        <c:dLbls>
          <c:showLegendKey val="0"/>
          <c:showVal val="1"/>
          <c:showCatName val="0"/>
          <c:showSerName val="0"/>
          <c:showPercent val="0"/>
          <c:showBubbleSize val="0"/>
        </c:dLbls>
        <c:gapWidth val="160"/>
        <c:axId val="2118028336"/>
        <c:axId val="2118022096"/>
      </c:barChart>
      <c:catAx>
        <c:axId val="2118028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22096"/>
        <c:crosses val="autoZero"/>
        <c:auto val="1"/>
        <c:lblAlgn val="ctr"/>
        <c:lblOffset val="100"/>
        <c:noMultiLvlLbl val="0"/>
      </c:catAx>
      <c:valAx>
        <c:axId val="2118022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2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Inventory Analysis &amp; Supply Chain Dashboard Using Excel.xlsx]Supplier Analysis!PivotTable2</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Supplier</a:t>
            </a:r>
            <a:r>
              <a:rPr lang="en-US" baseline="0"/>
              <a:t> Contribution</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003300"/>
          </a:solidFill>
          <a:ln>
            <a:solidFill>
              <a:schemeClr val="accent1"/>
            </a:solidFill>
          </a:ln>
          <a:effectLst/>
          <a:sp3d>
            <a:contourClr>
              <a:schemeClr val="accent1"/>
            </a:contourClr>
          </a:sp3d>
        </c:spPr>
        <c:marker>
          <c:spPr>
            <a:solidFill>
              <a:schemeClr val="accent1"/>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'Supplier Analysis'!$B$3</c:f>
              <c:strCache>
                <c:ptCount val="1"/>
                <c:pt idx="0">
                  <c:v>Total</c:v>
                </c:pt>
              </c:strCache>
            </c:strRef>
          </c:tx>
          <c:spPr>
            <a:solidFill>
              <a:srgbClr val="00B050"/>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'Supplier Analysis'!$A$4:$A$14</c:f>
              <c:strCache>
                <c:ptCount val="10"/>
                <c:pt idx="0">
                  <c:v>AgroFresh Supplies Pvt Ltd</c:v>
                </c:pt>
                <c:pt idx="1">
                  <c:v>HygieneCorp Suppliers</c:v>
                </c:pt>
                <c:pt idx="2">
                  <c:v>FreshFarm Produce Suppliers</c:v>
                </c:pt>
                <c:pt idx="3">
                  <c:v>HomeCare Essentials Ltd</c:v>
                </c:pt>
                <c:pt idx="4">
                  <c:v>SpiceRoute Imports</c:v>
                </c:pt>
                <c:pt idx="5">
                  <c:v>CrunchBake Pvt Ltd</c:v>
                </c:pt>
                <c:pt idx="6">
                  <c:v>FreshFarm Dairy Ltd</c:v>
                </c:pt>
                <c:pt idx="7">
                  <c:v>ColdChain Proteins Ltd</c:v>
                </c:pt>
                <c:pt idx="8">
                  <c:v>BakeHouse Distributors</c:v>
                </c:pt>
                <c:pt idx="9">
                  <c:v>DairyDelight Suppliers</c:v>
                </c:pt>
              </c:strCache>
            </c:strRef>
          </c:cat>
          <c:val>
            <c:numRef>
              <c:f>'Supplier Analysis'!$B$4:$B$14</c:f>
              <c:numCache>
                <c:formatCode>General</c:formatCode>
                <c:ptCount val="10"/>
                <c:pt idx="0">
                  <c:v>490</c:v>
                </c:pt>
                <c:pt idx="1">
                  <c:v>290</c:v>
                </c:pt>
                <c:pt idx="2">
                  <c:v>220</c:v>
                </c:pt>
                <c:pt idx="3">
                  <c:v>210</c:v>
                </c:pt>
                <c:pt idx="4">
                  <c:v>180</c:v>
                </c:pt>
                <c:pt idx="5">
                  <c:v>160</c:v>
                </c:pt>
                <c:pt idx="6">
                  <c:v>160</c:v>
                </c:pt>
                <c:pt idx="7">
                  <c:v>150</c:v>
                </c:pt>
                <c:pt idx="8">
                  <c:v>150</c:v>
                </c:pt>
                <c:pt idx="9">
                  <c:v>140</c:v>
                </c:pt>
              </c:numCache>
            </c:numRef>
          </c:val>
          <c:extLst>
            <c:ext xmlns:c16="http://schemas.microsoft.com/office/drawing/2014/chart" uri="{C3380CC4-5D6E-409C-BE32-E72D297353CC}">
              <c16:uniqueId val="{00000000-A37F-4AF1-88F0-A2D67A63AD26}"/>
            </c:ext>
          </c:extLst>
        </c:ser>
        <c:dLbls>
          <c:showLegendKey val="0"/>
          <c:showVal val="1"/>
          <c:showCatName val="0"/>
          <c:showSerName val="0"/>
          <c:showPercent val="0"/>
          <c:showBubbleSize val="0"/>
        </c:dLbls>
        <c:gapWidth val="160"/>
        <c:axId val="2121650512"/>
        <c:axId val="2121650992"/>
      </c:barChart>
      <c:catAx>
        <c:axId val="2121650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650992"/>
        <c:crosses val="autoZero"/>
        <c:auto val="1"/>
        <c:lblAlgn val="ctr"/>
        <c:lblOffset val="100"/>
        <c:noMultiLvlLbl val="0"/>
      </c:catAx>
      <c:valAx>
        <c:axId val="212165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65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Inventory Analysis &amp; Supply Chain Dashboard Using Excel.xlsx]Inventory Turnover Analysis!PivotTable3</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10 Fast Moving Items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00B050"/>
          </a:solidFill>
          <a:ln>
            <a:noFill/>
          </a:ln>
          <a:effectLst>
            <a:innerShdw blurRad="114300">
              <a:schemeClr val="accent1"/>
            </a:inn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 Turnover Analysis'!$B$3</c:f>
              <c:strCache>
                <c:ptCount val="1"/>
                <c:pt idx="0">
                  <c:v>Total</c:v>
                </c:pt>
              </c:strCache>
            </c:strRef>
          </c:tx>
          <c:spPr>
            <a:solidFill>
              <a:srgbClr val="00B050"/>
            </a:solidFill>
            <a:ln>
              <a:noFill/>
            </a:ln>
            <a:effectLst>
              <a:innerShdw blurRad="114300">
                <a:schemeClr val="accent1"/>
              </a:inn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'Inventory Turnover Analysis'!$A$4:$A$13</c:f>
              <c:strCache>
                <c:ptCount val="10"/>
                <c:pt idx="0">
                  <c:v>Bread</c:v>
                </c:pt>
                <c:pt idx="1">
                  <c:v>Milk</c:v>
                </c:pt>
                <c:pt idx="2">
                  <c:v>Potatoes</c:v>
                </c:pt>
                <c:pt idx="3">
                  <c:v>Spinach</c:v>
                </c:pt>
                <c:pt idx="4">
                  <c:v>Eggs</c:v>
                </c:pt>
                <c:pt idx="5">
                  <c:v>Onions</c:v>
                </c:pt>
                <c:pt idx="6">
                  <c:v>Fruit Juice</c:v>
                </c:pt>
                <c:pt idx="7">
                  <c:v>Chips</c:v>
                </c:pt>
                <c:pt idx="8">
                  <c:v>Handwash </c:v>
                </c:pt>
                <c:pt idx="9">
                  <c:v>Hand Sanitizer</c:v>
                </c:pt>
              </c:strCache>
            </c:strRef>
          </c:cat>
          <c:val>
            <c:numRef>
              <c:f>'Inventory Turnover Analysis'!$B$4:$B$13</c:f>
              <c:numCache>
                <c:formatCode>General</c:formatCode>
                <c:ptCount val="10"/>
                <c:pt idx="0">
                  <c:v>7</c:v>
                </c:pt>
                <c:pt idx="1">
                  <c:v>5</c:v>
                </c:pt>
                <c:pt idx="2">
                  <c:v>3.8</c:v>
                </c:pt>
                <c:pt idx="3">
                  <c:v>3.5</c:v>
                </c:pt>
                <c:pt idx="4">
                  <c:v>2.3333333333333335</c:v>
                </c:pt>
                <c:pt idx="5">
                  <c:v>2.25</c:v>
                </c:pt>
                <c:pt idx="6">
                  <c:v>2</c:v>
                </c:pt>
                <c:pt idx="7">
                  <c:v>2</c:v>
                </c:pt>
                <c:pt idx="8">
                  <c:v>2</c:v>
                </c:pt>
                <c:pt idx="9">
                  <c:v>1.8571428571428572</c:v>
                </c:pt>
              </c:numCache>
            </c:numRef>
          </c:val>
          <c:extLst>
            <c:ext xmlns:c16="http://schemas.microsoft.com/office/drawing/2014/chart" uri="{C3380CC4-5D6E-409C-BE32-E72D297353CC}">
              <c16:uniqueId val="{00000000-380B-4CD3-B75C-5C3CC73FB97B}"/>
            </c:ext>
          </c:extLst>
        </c:ser>
        <c:dLbls>
          <c:showLegendKey val="0"/>
          <c:showVal val="1"/>
          <c:showCatName val="0"/>
          <c:showSerName val="0"/>
          <c:showPercent val="0"/>
          <c:showBubbleSize val="0"/>
        </c:dLbls>
        <c:gapWidth val="160"/>
        <c:axId val="2118021616"/>
        <c:axId val="2118026416"/>
      </c:barChart>
      <c:catAx>
        <c:axId val="2118021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26416"/>
        <c:crosses val="autoZero"/>
        <c:auto val="1"/>
        <c:lblAlgn val="ctr"/>
        <c:lblOffset val="100"/>
        <c:noMultiLvlLbl val="0"/>
      </c:catAx>
      <c:valAx>
        <c:axId val="211802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2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Demand</a:t>
            </a:r>
            <a:r>
              <a:rPr lang="en-IN" baseline="0"/>
              <a:t> vs Forecast Trend (Potatoes)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v>Actual Demand</c:v>
          </c:tx>
          <c:spPr>
            <a:ln w="28575" cap="rnd">
              <a:solidFill>
                <a:schemeClr val="accent1"/>
              </a:solidFill>
              <a:round/>
            </a:ln>
            <a:effectLst/>
          </c:spPr>
          <c:marker>
            <c:symbol val="none"/>
          </c:marker>
          <c:cat>
            <c:strRef>
              <c:f>'Monthly Demand Data'!$C$4:$C$9</c:f>
              <c:strCache>
                <c:ptCount val="6"/>
                <c:pt idx="0">
                  <c:v>January</c:v>
                </c:pt>
                <c:pt idx="1">
                  <c:v>February</c:v>
                </c:pt>
                <c:pt idx="2">
                  <c:v>March</c:v>
                </c:pt>
                <c:pt idx="3">
                  <c:v>April</c:v>
                </c:pt>
                <c:pt idx="4">
                  <c:v>May</c:v>
                </c:pt>
                <c:pt idx="5">
                  <c:v>June</c:v>
                </c:pt>
              </c:strCache>
            </c:strRef>
          </c:cat>
          <c:val>
            <c:numRef>
              <c:f>'Monthly Demand Data'!$D$4:$D$9</c:f>
              <c:numCache>
                <c:formatCode>General</c:formatCode>
                <c:ptCount val="6"/>
                <c:pt idx="0">
                  <c:v>25</c:v>
                </c:pt>
                <c:pt idx="1">
                  <c:v>20</c:v>
                </c:pt>
                <c:pt idx="2">
                  <c:v>20</c:v>
                </c:pt>
                <c:pt idx="3">
                  <c:v>10</c:v>
                </c:pt>
                <c:pt idx="4">
                  <c:v>10</c:v>
                </c:pt>
                <c:pt idx="5">
                  <c:v>10</c:v>
                </c:pt>
              </c:numCache>
            </c:numRef>
          </c:val>
          <c:smooth val="0"/>
          <c:extLst>
            <c:ext xmlns:c16="http://schemas.microsoft.com/office/drawing/2014/chart" uri="{C3380CC4-5D6E-409C-BE32-E72D297353CC}">
              <c16:uniqueId val="{00000000-3847-42BA-B379-086B68CE275C}"/>
            </c:ext>
          </c:extLst>
        </c:ser>
        <c:ser>
          <c:idx val="1"/>
          <c:order val="1"/>
          <c:tx>
            <c:v>Forecast (3M Avg)</c:v>
          </c:tx>
          <c:spPr>
            <a:ln w="28575" cap="rnd">
              <a:solidFill>
                <a:schemeClr val="accent2"/>
              </a:solidFill>
              <a:prstDash val="sysDot"/>
              <a:round/>
            </a:ln>
            <a:effectLst/>
          </c:spPr>
          <c:marker>
            <c:symbol val="none"/>
          </c:marker>
          <c:cat>
            <c:strRef>
              <c:f>'Monthly Demand Data'!$C$4:$C$9</c:f>
              <c:strCache>
                <c:ptCount val="6"/>
                <c:pt idx="0">
                  <c:v>January</c:v>
                </c:pt>
                <c:pt idx="1">
                  <c:v>February</c:v>
                </c:pt>
                <c:pt idx="2">
                  <c:v>March</c:v>
                </c:pt>
                <c:pt idx="3">
                  <c:v>April</c:v>
                </c:pt>
                <c:pt idx="4">
                  <c:v>May</c:v>
                </c:pt>
                <c:pt idx="5">
                  <c:v>June</c:v>
                </c:pt>
              </c:strCache>
            </c:strRef>
          </c:cat>
          <c:val>
            <c:numRef>
              <c:f>'Monthly Demand Data'!$E$4:$E$9</c:f>
              <c:numCache>
                <c:formatCode>General</c:formatCode>
                <c:ptCount val="6"/>
                <c:pt idx="0">
                  <c:v>0</c:v>
                </c:pt>
                <c:pt idx="1">
                  <c:v>0</c:v>
                </c:pt>
                <c:pt idx="2">
                  <c:v>21.67</c:v>
                </c:pt>
                <c:pt idx="3">
                  <c:v>16.670000000000002</c:v>
                </c:pt>
                <c:pt idx="4">
                  <c:v>13.33</c:v>
                </c:pt>
                <c:pt idx="5">
                  <c:v>10</c:v>
                </c:pt>
              </c:numCache>
            </c:numRef>
          </c:val>
          <c:smooth val="0"/>
          <c:extLst>
            <c:ext xmlns:c16="http://schemas.microsoft.com/office/drawing/2014/chart" uri="{C3380CC4-5D6E-409C-BE32-E72D297353CC}">
              <c16:uniqueId val="{00000001-3847-42BA-B379-086B68CE275C}"/>
            </c:ext>
          </c:extLst>
        </c:ser>
        <c:dLbls>
          <c:showLegendKey val="0"/>
          <c:showVal val="0"/>
          <c:showCatName val="0"/>
          <c:showSerName val="0"/>
          <c:showPercent val="0"/>
          <c:showBubbleSize val="0"/>
        </c:dLbls>
        <c:smooth val="0"/>
        <c:axId val="1024804272"/>
        <c:axId val="1024790352"/>
      </c:lineChart>
      <c:catAx>
        <c:axId val="102480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790352"/>
        <c:crosses val="autoZero"/>
        <c:auto val="1"/>
        <c:lblAlgn val="ctr"/>
        <c:lblOffset val="100"/>
        <c:noMultiLvlLbl val="0"/>
      </c:catAx>
      <c:valAx>
        <c:axId val="102479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04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Inventory Analysis &amp; Supply Chain Dashboard Using Excel.xlsx]Forecast 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Demand Comparison</a:t>
            </a:r>
            <a:r>
              <a:rPr lang="en-IN" baseline="0"/>
              <a:t> of Fast-Moving Items </a:t>
            </a: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'Forecast Analysis'!$B$3:$B$4</c:f>
              <c:strCache>
                <c:ptCount val="1"/>
                <c:pt idx="0">
                  <c:v>Eggs</c:v>
                </c:pt>
              </c:strCache>
            </c:strRef>
          </c:tx>
          <c:spPr>
            <a:ln w="28575" cap="rnd">
              <a:solidFill>
                <a:schemeClr val="accent1"/>
              </a:solidFill>
              <a:round/>
            </a:ln>
            <a:effectLst/>
          </c:spPr>
          <c:marker>
            <c:symbol val="none"/>
          </c:marker>
          <c:cat>
            <c:strRef>
              <c:f>'Forecast Analysis'!$A$5:$A$11</c:f>
              <c:strCache>
                <c:ptCount val="6"/>
                <c:pt idx="0">
                  <c:v>January</c:v>
                </c:pt>
                <c:pt idx="1">
                  <c:v>February</c:v>
                </c:pt>
                <c:pt idx="2">
                  <c:v>March</c:v>
                </c:pt>
                <c:pt idx="3">
                  <c:v>April</c:v>
                </c:pt>
                <c:pt idx="4">
                  <c:v>May</c:v>
                </c:pt>
                <c:pt idx="5">
                  <c:v>June</c:v>
                </c:pt>
              </c:strCache>
            </c:strRef>
          </c:cat>
          <c:val>
            <c:numRef>
              <c:f>'Forecast Analysis'!$B$5:$B$11</c:f>
              <c:numCache>
                <c:formatCode>General</c:formatCode>
                <c:ptCount val="6"/>
                <c:pt idx="0">
                  <c:v>15</c:v>
                </c:pt>
                <c:pt idx="1">
                  <c:v>10</c:v>
                </c:pt>
                <c:pt idx="2">
                  <c:v>10</c:v>
                </c:pt>
                <c:pt idx="3">
                  <c:v>15</c:v>
                </c:pt>
                <c:pt idx="4">
                  <c:v>10</c:v>
                </c:pt>
                <c:pt idx="5">
                  <c:v>10</c:v>
                </c:pt>
              </c:numCache>
            </c:numRef>
          </c:val>
          <c:smooth val="0"/>
          <c:extLst>
            <c:ext xmlns:c16="http://schemas.microsoft.com/office/drawing/2014/chart" uri="{C3380CC4-5D6E-409C-BE32-E72D297353CC}">
              <c16:uniqueId val="{00000000-1AC9-4E4D-A0CE-C30BBB510A22}"/>
            </c:ext>
          </c:extLst>
        </c:ser>
        <c:ser>
          <c:idx val="1"/>
          <c:order val="1"/>
          <c:tx>
            <c:strRef>
              <c:f>'Forecast Analysis'!$C$3:$C$4</c:f>
              <c:strCache>
                <c:ptCount val="1"/>
                <c:pt idx="0">
                  <c:v>Fruit Juice</c:v>
                </c:pt>
              </c:strCache>
            </c:strRef>
          </c:tx>
          <c:spPr>
            <a:ln w="28575" cap="rnd">
              <a:solidFill>
                <a:schemeClr val="accent2"/>
              </a:solidFill>
              <a:round/>
            </a:ln>
            <a:effectLst/>
          </c:spPr>
          <c:marker>
            <c:symbol val="none"/>
          </c:marker>
          <c:cat>
            <c:strRef>
              <c:f>'Forecast Analysis'!$A$5:$A$11</c:f>
              <c:strCache>
                <c:ptCount val="6"/>
                <c:pt idx="0">
                  <c:v>January</c:v>
                </c:pt>
                <c:pt idx="1">
                  <c:v>February</c:v>
                </c:pt>
                <c:pt idx="2">
                  <c:v>March</c:v>
                </c:pt>
                <c:pt idx="3">
                  <c:v>April</c:v>
                </c:pt>
                <c:pt idx="4">
                  <c:v>May</c:v>
                </c:pt>
                <c:pt idx="5">
                  <c:v>June</c:v>
                </c:pt>
              </c:strCache>
            </c:strRef>
          </c:cat>
          <c:val>
            <c:numRef>
              <c:f>'Forecast Analysis'!$C$5:$C$11</c:f>
              <c:numCache>
                <c:formatCode>General</c:formatCode>
                <c:ptCount val="6"/>
                <c:pt idx="0">
                  <c:v>20</c:v>
                </c:pt>
                <c:pt idx="1">
                  <c:v>10</c:v>
                </c:pt>
                <c:pt idx="2">
                  <c:v>15</c:v>
                </c:pt>
                <c:pt idx="3">
                  <c:v>15</c:v>
                </c:pt>
                <c:pt idx="4">
                  <c:v>10</c:v>
                </c:pt>
                <c:pt idx="5">
                  <c:v>10</c:v>
                </c:pt>
              </c:numCache>
            </c:numRef>
          </c:val>
          <c:smooth val="0"/>
          <c:extLst>
            <c:ext xmlns:c16="http://schemas.microsoft.com/office/drawing/2014/chart" uri="{C3380CC4-5D6E-409C-BE32-E72D297353CC}">
              <c16:uniqueId val="{00000001-1AC9-4E4D-A0CE-C30BBB510A22}"/>
            </c:ext>
          </c:extLst>
        </c:ser>
        <c:ser>
          <c:idx val="2"/>
          <c:order val="2"/>
          <c:tx>
            <c:strRef>
              <c:f>'Forecast Analysis'!$D$3:$D$4</c:f>
              <c:strCache>
                <c:ptCount val="1"/>
                <c:pt idx="0">
                  <c:v>Handwash </c:v>
                </c:pt>
              </c:strCache>
            </c:strRef>
          </c:tx>
          <c:spPr>
            <a:ln w="28575" cap="rnd">
              <a:solidFill>
                <a:schemeClr val="accent3"/>
              </a:solidFill>
              <a:round/>
            </a:ln>
            <a:effectLst/>
          </c:spPr>
          <c:marker>
            <c:symbol val="none"/>
          </c:marker>
          <c:cat>
            <c:strRef>
              <c:f>'Forecast Analysis'!$A$5:$A$11</c:f>
              <c:strCache>
                <c:ptCount val="6"/>
                <c:pt idx="0">
                  <c:v>January</c:v>
                </c:pt>
                <c:pt idx="1">
                  <c:v>February</c:v>
                </c:pt>
                <c:pt idx="2">
                  <c:v>March</c:v>
                </c:pt>
                <c:pt idx="3">
                  <c:v>April</c:v>
                </c:pt>
                <c:pt idx="4">
                  <c:v>May</c:v>
                </c:pt>
                <c:pt idx="5">
                  <c:v>June</c:v>
                </c:pt>
              </c:strCache>
            </c:strRef>
          </c:cat>
          <c:val>
            <c:numRef>
              <c:f>'Forecast Analysis'!$D$5:$D$11</c:f>
              <c:numCache>
                <c:formatCode>General</c:formatCode>
                <c:ptCount val="6"/>
                <c:pt idx="0">
                  <c:v>10</c:v>
                </c:pt>
                <c:pt idx="1">
                  <c:v>20</c:v>
                </c:pt>
                <c:pt idx="2">
                  <c:v>25</c:v>
                </c:pt>
                <c:pt idx="3">
                  <c:v>10</c:v>
                </c:pt>
                <c:pt idx="4">
                  <c:v>5</c:v>
                </c:pt>
                <c:pt idx="5">
                  <c:v>10</c:v>
                </c:pt>
              </c:numCache>
            </c:numRef>
          </c:val>
          <c:smooth val="0"/>
          <c:extLst>
            <c:ext xmlns:c16="http://schemas.microsoft.com/office/drawing/2014/chart" uri="{C3380CC4-5D6E-409C-BE32-E72D297353CC}">
              <c16:uniqueId val="{00000002-1AC9-4E4D-A0CE-C30BBB510A22}"/>
            </c:ext>
          </c:extLst>
        </c:ser>
        <c:ser>
          <c:idx val="3"/>
          <c:order val="3"/>
          <c:tx>
            <c:strRef>
              <c:f>'Forecast Analysis'!$E$3:$E$4</c:f>
              <c:strCache>
                <c:ptCount val="1"/>
                <c:pt idx="0">
                  <c:v>Mineral Water</c:v>
                </c:pt>
              </c:strCache>
            </c:strRef>
          </c:tx>
          <c:spPr>
            <a:ln w="28575" cap="rnd">
              <a:solidFill>
                <a:schemeClr val="accent4"/>
              </a:solidFill>
              <a:round/>
            </a:ln>
            <a:effectLst/>
          </c:spPr>
          <c:marker>
            <c:symbol val="none"/>
          </c:marker>
          <c:cat>
            <c:strRef>
              <c:f>'Forecast Analysis'!$A$5:$A$11</c:f>
              <c:strCache>
                <c:ptCount val="6"/>
                <c:pt idx="0">
                  <c:v>January</c:v>
                </c:pt>
                <c:pt idx="1">
                  <c:v>February</c:v>
                </c:pt>
                <c:pt idx="2">
                  <c:v>March</c:v>
                </c:pt>
                <c:pt idx="3">
                  <c:v>April</c:v>
                </c:pt>
                <c:pt idx="4">
                  <c:v>May</c:v>
                </c:pt>
                <c:pt idx="5">
                  <c:v>June</c:v>
                </c:pt>
              </c:strCache>
            </c:strRef>
          </c:cat>
          <c:val>
            <c:numRef>
              <c:f>'Forecast Analysis'!$E$5:$E$11</c:f>
              <c:numCache>
                <c:formatCode>General</c:formatCode>
                <c:ptCount val="6"/>
                <c:pt idx="0">
                  <c:v>15</c:v>
                </c:pt>
                <c:pt idx="1">
                  <c:v>25</c:v>
                </c:pt>
                <c:pt idx="2">
                  <c:v>5</c:v>
                </c:pt>
                <c:pt idx="3">
                  <c:v>15</c:v>
                </c:pt>
                <c:pt idx="4">
                  <c:v>5</c:v>
                </c:pt>
                <c:pt idx="5">
                  <c:v>10</c:v>
                </c:pt>
              </c:numCache>
            </c:numRef>
          </c:val>
          <c:smooth val="0"/>
          <c:extLst>
            <c:ext xmlns:c16="http://schemas.microsoft.com/office/drawing/2014/chart" uri="{C3380CC4-5D6E-409C-BE32-E72D297353CC}">
              <c16:uniqueId val="{00000003-1AC9-4E4D-A0CE-C30BBB510A22}"/>
            </c:ext>
          </c:extLst>
        </c:ser>
        <c:ser>
          <c:idx val="4"/>
          <c:order val="4"/>
          <c:tx>
            <c:strRef>
              <c:f>'Forecast Analysis'!$F$3:$F$4</c:f>
              <c:strCache>
                <c:ptCount val="1"/>
                <c:pt idx="0">
                  <c:v>Onions</c:v>
                </c:pt>
              </c:strCache>
            </c:strRef>
          </c:tx>
          <c:spPr>
            <a:ln w="28575" cap="rnd">
              <a:solidFill>
                <a:schemeClr val="accent5"/>
              </a:solidFill>
              <a:round/>
            </a:ln>
            <a:effectLst/>
          </c:spPr>
          <c:marker>
            <c:symbol val="none"/>
          </c:marker>
          <c:cat>
            <c:strRef>
              <c:f>'Forecast Analysis'!$A$5:$A$11</c:f>
              <c:strCache>
                <c:ptCount val="6"/>
                <c:pt idx="0">
                  <c:v>January</c:v>
                </c:pt>
                <c:pt idx="1">
                  <c:v>February</c:v>
                </c:pt>
                <c:pt idx="2">
                  <c:v>March</c:v>
                </c:pt>
                <c:pt idx="3">
                  <c:v>April</c:v>
                </c:pt>
                <c:pt idx="4">
                  <c:v>May</c:v>
                </c:pt>
                <c:pt idx="5">
                  <c:v>June</c:v>
                </c:pt>
              </c:strCache>
            </c:strRef>
          </c:cat>
          <c:val>
            <c:numRef>
              <c:f>'Forecast Analysis'!$F$5:$F$11</c:f>
              <c:numCache>
                <c:formatCode>General</c:formatCode>
                <c:ptCount val="6"/>
                <c:pt idx="0">
                  <c:v>30</c:v>
                </c:pt>
                <c:pt idx="1">
                  <c:v>15</c:v>
                </c:pt>
                <c:pt idx="2">
                  <c:v>15</c:v>
                </c:pt>
                <c:pt idx="3">
                  <c:v>10</c:v>
                </c:pt>
                <c:pt idx="4">
                  <c:v>15</c:v>
                </c:pt>
                <c:pt idx="5">
                  <c:v>5</c:v>
                </c:pt>
              </c:numCache>
            </c:numRef>
          </c:val>
          <c:smooth val="0"/>
          <c:extLst>
            <c:ext xmlns:c16="http://schemas.microsoft.com/office/drawing/2014/chart" uri="{C3380CC4-5D6E-409C-BE32-E72D297353CC}">
              <c16:uniqueId val="{00000004-1AC9-4E4D-A0CE-C30BBB510A22}"/>
            </c:ext>
          </c:extLst>
        </c:ser>
        <c:ser>
          <c:idx val="5"/>
          <c:order val="5"/>
          <c:tx>
            <c:strRef>
              <c:f>'Forecast Analysis'!$G$3:$G$4</c:f>
              <c:strCache>
                <c:ptCount val="1"/>
                <c:pt idx="0">
                  <c:v>Potatoes</c:v>
                </c:pt>
              </c:strCache>
            </c:strRef>
          </c:tx>
          <c:spPr>
            <a:ln w="28575" cap="rnd">
              <a:solidFill>
                <a:schemeClr val="accent6"/>
              </a:solidFill>
              <a:round/>
            </a:ln>
            <a:effectLst/>
          </c:spPr>
          <c:marker>
            <c:symbol val="none"/>
          </c:marker>
          <c:cat>
            <c:strRef>
              <c:f>'Forecast Analysis'!$A$5:$A$11</c:f>
              <c:strCache>
                <c:ptCount val="6"/>
                <c:pt idx="0">
                  <c:v>January</c:v>
                </c:pt>
                <c:pt idx="1">
                  <c:v>February</c:v>
                </c:pt>
                <c:pt idx="2">
                  <c:v>March</c:v>
                </c:pt>
                <c:pt idx="3">
                  <c:v>April</c:v>
                </c:pt>
                <c:pt idx="4">
                  <c:v>May</c:v>
                </c:pt>
                <c:pt idx="5">
                  <c:v>June</c:v>
                </c:pt>
              </c:strCache>
            </c:strRef>
          </c:cat>
          <c:val>
            <c:numRef>
              <c:f>'Forecast Analysis'!$G$5:$G$11</c:f>
              <c:numCache>
                <c:formatCode>General</c:formatCode>
                <c:ptCount val="6"/>
                <c:pt idx="0">
                  <c:v>25</c:v>
                </c:pt>
                <c:pt idx="1">
                  <c:v>20</c:v>
                </c:pt>
                <c:pt idx="2">
                  <c:v>20</c:v>
                </c:pt>
                <c:pt idx="3">
                  <c:v>10</c:v>
                </c:pt>
                <c:pt idx="4">
                  <c:v>10</c:v>
                </c:pt>
                <c:pt idx="5">
                  <c:v>10</c:v>
                </c:pt>
              </c:numCache>
            </c:numRef>
          </c:val>
          <c:smooth val="0"/>
          <c:extLst>
            <c:ext xmlns:c16="http://schemas.microsoft.com/office/drawing/2014/chart" uri="{C3380CC4-5D6E-409C-BE32-E72D297353CC}">
              <c16:uniqueId val="{00000005-1AC9-4E4D-A0CE-C30BBB510A22}"/>
            </c:ext>
          </c:extLst>
        </c:ser>
        <c:dLbls>
          <c:showLegendKey val="0"/>
          <c:showVal val="0"/>
          <c:showCatName val="0"/>
          <c:showSerName val="0"/>
          <c:showPercent val="0"/>
          <c:showBubbleSize val="0"/>
        </c:dLbls>
        <c:smooth val="0"/>
        <c:axId val="1177546208"/>
        <c:axId val="1177565888"/>
      </c:lineChart>
      <c:catAx>
        <c:axId val="117754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565888"/>
        <c:crosses val="autoZero"/>
        <c:auto val="1"/>
        <c:lblAlgn val="ctr"/>
        <c:lblOffset val="100"/>
        <c:noMultiLvlLbl val="0"/>
      </c:catAx>
      <c:valAx>
        <c:axId val="11775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54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11975</xdr:rowOff>
    </xdr:from>
    <xdr:to>
      <xdr:col>31</xdr:col>
      <xdr:colOff>15240</xdr:colOff>
      <xdr:row>17</xdr:row>
      <xdr:rowOff>21772</xdr:rowOff>
    </xdr:to>
    <xdr:graphicFrame macro="">
      <xdr:nvGraphicFramePr>
        <xdr:cNvPr id="8" name="Chart 7">
          <a:extLst>
            <a:ext uri="{FF2B5EF4-FFF2-40B4-BE49-F238E27FC236}">
              <a16:creationId xmlns:a16="http://schemas.microsoft.com/office/drawing/2014/main" id="{67C548DB-FBD1-4E19-9D58-263BEB2DD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603069</xdr:colOff>
      <xdr:row>18</xdr:row>
      <xdr:rowOff>4354</xdr:rowOff>
    </xdr:from>
    <xdr:to>
      <xdr:col>18</xdr:col>
      <xdr:colOff>595449</xdr:colOff>
      <xdr:row>33</xdr:row>
      <xdr:rowOff>10885</xdr:rowOff>
    </xdr:to>
    <xdr:graphicFrame macro="">
      <xdr:nvGraphicFramePr>
        <xdr:cNvPr id="10" name="Chart 9">
          <a:extLst>
            <a:ext uri="{FF2B5EF4-FFF2-40B4-BE49-F238E27FC236}">
              <a16:creationId xmlns:a16="http://schemas.microsoft.com/office/drawing/2014/main" id="{3E7BB18E-607B-4B26-83C6-95CE034E2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603068</xdr:colOff>
      <xdr:row>18</xdr:row>
      <xdr:rowOff>0</xdr:rowOff>
    </xdr:from>
    <xdr:to>
      <xdr:col>30</xdr:col>
      <xdr:colOff>595448</xdr:colOff>
      <xdr:row>33</xdr:row>
      <xdr:rowOff>0</xdr:rowOff>
    </xdr:to>
    <xdr:graphicFrame macro="">
      <xdr:nvGraphicFramePr>
        <xdr:cNvPr id="14" name="Chart 13">
          <a:extLst>
            <a:ext uri="{FF2B5EF4-FFF2-40B4-BE49-F238E27FC236}">
              <a16:creationId xmlns:a16="http://schemas.microsoft.com/office/drawing/2014/main" id="{D99E02E7-0517-44A6-ACCA-55DBC6612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31</xdr:col>
      <xdr:colOff>608513</xdr:colOff>
      <xdr:row>16</xdr:row>
      <xdr:rowOff>150222</xdr:rowOff>
    </xdr:from>
    <xdr:to>
      <xdr:col>34</xdr:col>
      <xdr:colOff>608513</xdr:colOff>
      <xdr:row>30</xdr:row>
      <xdr:rowOff>130627</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D2251F38-D483-CE47-03CC-98CBFFC2FAD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896513" y="3296193"/>
              <a:ext cx="1828800" cy="2571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8163</xdr:colOff>
      <xdr:row>1</xdr:row>
      <xdr:rowOff>168999</xdr:rowOff>
    </xdr:from>
    <xdr:to>
      <xdr:col>35</xdr:col>
      <xdr:colOff>8163</xdr:colOff>
      <xdr:row>15</xdr:row>
      <xdr:rowOff>54426</xdr:rowOff>
    </xdr:to>
    <mc:AlternateContent xmlns:mc="http://schemas.openxmlformats.org/markup-compatibility/2006" xmlns:a14="http://schemas.microsoft.com/office/drawing/2010/main">
      <mc:Choice Requires="a14">
        <xdr:graphicFrame macro="">
          <xdr:nvGraphicFramePr>
            <xdr:cNvPr id="3" name="Supplier">
              <a:extLst>
                <a:ext uri="{FF2B5EF4-FFF2-40B4-BE49-F238E27FC236}">
                  <a16:creationId xmlns:a16="http://schemas.microsoft.com/office/drawing/2014/main" id="{5F7683A4-5739-EC60-800E-0255A7A3C1EA}"/>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8905763" y="441142"/>
              <a:ext cx="1828800" cy="2574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127469</xdr:colOff>
      <xdr:row>5</xdr:row>
      <xdr:rowOff>30067</xdr:rowOff>
    </xdr:from>
    <xdr:to>
      <xdr:col>4</xdr:col>
      <xdr:colOff>488453</xdr:colOff>
      <xdr:row>5</xdr:row>
      <xdr:rowOff>163287</xdr:rowOff>
    </xdr:to>
    <xdr:pic>
      <xdr:nvPicPr>
        <xdr:cNvPr id="11" name="Graphic 10" descr="Bar chart">
          <a:extLst>
            <a:ext uri="{FF2B5EF4-FFF2-40B4-BE49-F238E27FC236}">
              <a16:creationId xmlns:a16="http://schemas.microsoft.com/office/drawing/2014/main" id="{E0415E8A-69AE-E5F3-BF76-631063644F6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56269" y="1140410"/>
          <a:ext cx="360984" cy="133220"/>
        </a:xfrm>
        <a:prstGeom prst="rect">
          <a:avLst/>
        </a:prstGeom>
      </xdr:spPr>
    </xdr:pic>
    <xdr:clientData/>
  </xdr:twoCellAnchor>
  <xdr:twoCellAnchor editAs="oneCell">
    <xdr:from>
      <xdr:col>6</xdr:col>
      <xdr:colOff>246571</xdr:colOff>
      <xdr:row>5</xdr:row>
      <xdr:rowOff>39427</xdr:rowOff>
    </xdr:from>
    <xdr:to>
      <xdr:col>6</xdr:col>
      <xdr:colOff>598714</xdr:colOff>
      <xdr:row>5</xdr:row>
      <xdr:rowOff>142025</xdr:rowOff>
    </xdr:to>
    <xdr:pic>
      <xdr:nvPicPr>
        <xdr:cNvPr id="13" name="Graphic 12" descr="Warning">
          <a:extLst>
            <a:ext uri="{FF2B5EF4-FFF2-40B4-BE49-F238E27FC236}">
              <a16:creationId xmlns:a16="http://schemas.microsoft.com/office/drawing/2014/main" id="{340F7505-9DC1-312F-A08F-3F5E2DC0222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3294571" y="1149770"/>
          <a:ext cx="352143" cy="102598"/>
        </a:xfrm>
        <a:prstGeom prst="rect">
          <a:avLst/>
        </a:prstGeom>
      </xdr:spPr>
    </xdr:pic>
    <xdr:clientData/>
  </xdr:twoCellAnchor>
  <xdr:twoCellAnchor editAs="oneCell">
    <xdr:from>
      <xdr:col>2</xdr:col>
      <xdr:colOff>130627</xdr:colOff>
      <xdr:row>5</xdr:row>
      <xdr:rowOff>10882</xdr:rowOff>
    </xdr:from>
    <xdr:to>
      <xdr:col>2</xdr:col>
      <xdr:colOff>283029</xdr:colOff>
      <xdr:row>5</xdr:row>
      <xdr:rowOff>163284</xdr:rowOff>
    </xdr:to>
    <xdr:pic>
      <xdr:nvPicPr>
        <xdr:cNvPr id="16" name="Graphic 15" descr="Box">
          <a:extLst>
            <a:ext uri="{FF2B5EF4-FFF2-40B4-BE49-F238E27FC236}">
              <a16:creationId xmlns:a16="http://schemas.microsoft.com/office/drawing/2014/main" id="{554B46AD-2F2E-2217-C9BF-879DAA84EE9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40227" y="1121225"/>
          <a:ext cx="152402" cy="152402"/>
        </a:xfrm>
        <a:prstGeom prst="rect">
          <a:avLst/>
        </a:prstGeom>
      </xdr:spPr>
    </xdr:pic>
    <xdr:clientData/>
  </xdr:twoCellAnchor>
  <xdr:twoCellAnchor editAs="oneCell">
    <xdr:from>
      <xdr:col>32</xdr:col>
      <xdr:colOff>9799</xdr:colOff>
      <xdr:row>32</xdr:row>
      <xdr:rowOff>41365</xdr:rowOff>
    </xdr:from>
    <xdr:to>
      <xdr:col>35</xdr:col>
      <xdr:colOff>9799</xdr:colOff>
      <xdr:row>45</xdr:row>
      <xdr:rowOff>102597</xdr:rowOff>
    </xdr:to>
    <mc:AlternateContent xmlns:mc="http://schemas.openxmlformats.org/markup-compatibility/2006" xmlns:a14="http://schemas.microsoft.com/office/drawing/2010/main">
      <mc:Choice Requires="a14">
        <xdr:graphicFrame macro="">
          <xdr:nvGraphicFramePr>
            <xdr:cNvPr id="4" name="Stock Status">
              <a:extLst>
                <a:ext uri="{FF2B5EF4-FFF2-40B4-BE49-F238E27FC236}">
                  <a16:creationId xmlns:a16="http://schemas.microsoft.com/office/drawing/2014/main" id="{206062F7-5B51-4F82-8B18-28EA926FB8A1}"/>
                </a:ext>
              </a:extLst>
            </xdr:cNvPr>
            <xdr:cNvGraphicFramePr/>
          </xdr:nvGraphicFramePr>
          <xdr:xfrm>
            <a:off x="0" y="0"/>
            <a:ext cx="0" cy="0"/>
          </xdr:xfrm>
          <a:graphic>
            <a:graphicData uri="http://schemas.microsoft.com/office/drawing/2010/slicer">
              <sle:slicer xmlns:sle="http://schemas.microsoft.com/office/drawing/2010/slicer" name="Stock Status"/>
            </a:graphicData>
          </a:graphic>
        </xdr:graphicFrame>
      </mc:Choice>
      <mc:Fallback xmlns="">
        <xdr:sp macro="" textlink="">
          <xdr:nvSpPr>
            <xdr:cNvPr id="0" name=""/>
            <xdr:cNvSpPr>
              <a:spLocks noTextEdit="1"/>
            </xdr:cNvSpPr>
          </xdr:nvSpPr>
          <xdr:spPr>
            <a:xfrm>
              <a:off x="18907399" y="614825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167640</xdr:colOff>
      <xdr:row>2</xdr:row>
      <xdr:rowOff>15240</xdr:rowOff>
    </xdr:from>
    <xdr:to>
      <xdr:col>7</xdr:col>
      <xdr:colOff>182880</xdr:colOff>
      <xdr:row>17</xdr:row>
      <xdr:rowOff>22860</xdr:rowOff>
    </xdr:to>
    <xdr:graphicFrame macro="">
      <xdr:nvGraphicFramePr>
        <xdr:cNvPr id="2" name="Chart 1">
          <a:extLst>
            <a:ext uri="{FF2B5EF4-FFF2-40B4-BE49-F238E27FC236}">
              <a16:creationId xmlns:a16="http://schemas.microsoft.com/office/drawing/2014/main" id="{C9D8A359-0A31-F769-73D3-A48D9E41D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xdr:colOff>
      <xdr:row>4</xdr:row>
      <xdr:rowOff>0</xdr:rowOff>
    </xdr:from>
    <xdr:to>
      <xdr:col>15</xdr:col>
      <xdr:colOff>114300</xdr:colOff>
      <xdr:row>18</xdr:row>
      <xdr:rowOff>95250</xdr:rowOff>
    </xdr:to>
    <xdr:graphicFrame macro="">
      <xdr:nvGraphicFramePr>
        <xdr:cNvPr id="6" name="Chart 5">
          <a:extLst>
            <a:ext uri="{FF2B5EF4-FFF2-40B4-BE49-F238E27FC236}">
              <a16:creationId xmlns:a16="http://schemas.microsoft.com/office/drawing/2014/main" id="{52FF2875-CE72-142A-1AF2-06FA780A2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1</xdr:row>
      <xdr:rowOff>179070</xdr:rowOff>
    </xdr:from>
    <xdr:to>
      <xdr:col>15</xdr:col>
      <xdr:colOff>449580</xdr:colOff>
      <xdr:row>18</xdr:row>
      <xdr:rowOff>60960</xdr:rowOff>
    </xdr:to>
    <xdr:graphicFrame macro="">
      <xdr:nvGraphicFramePr>
        <xdr:cNvPr id="3" name="Chart 2">
          <a:extLst>
            <a:ext uri="{FF2B5EF4-FFF2-40B4-BE49-F238E27FC236}">
              <a16:creationId xmlns:a16="http://schemas.microsoft.com/office/drawing/2014/main" id="{03E64AE4-3284-15EF-5B7D-D33AD7993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163830</xdr:rowOff>
    </xdr:from>
    <xdr:to>
      <xdr:col>15</xdr:col>
      <xdr:colOff>190500</xdr:colOff>
      <xdr:row>17</xdr:row>
      <xdr:rowOff>163830</xdr:rowOff>
    </xdr:to>
    <xdr:graphicFrame macro="">
      <xdr:nvGraphicFramePr>
        <xdr:cNvPr id="4" name="Chart 3">
          <a:extLst>
            <a:ext uri="{FF2B5EF4-FFF2-40B4-BE49-F238E27FC236}">
              <a16:creationId xmlns:a16="http://schemas.microsoft.com/office/drawing/2014/main" id="{8EF5CD34-D74C-03F7-F8C4-EDF4E74C7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137160</xdr:colOff>
      <xdr:row>6</xdr:row>
      <xdr:rowOff>106686</xdr:rowOff>
    </xdr:from>
    <xdr:to>
      <xdr:col>13</xdr:col>
      <xdr:colOff>441960</xdr:colOff>
      <xdr:row>98</xdr:row>
      <xdr:rowOff>106686</xdr:rowOff>
    </xdr:to>
    <xdr:graphicFrame macro="">
      <xdr:nvGraphicFramePr>
        <xdr:cNvPr id="4" name="Chart 3">
          <a:extLst>
            <a:ext uri="{FF2B5EF4-FFF2-40B4-BE49-F238E27FC236}">
              <a16:creationId xmlns:a16="http://schemas.microsoft.com/office/drawing/2014/main" id="{B685CF8C-BCBF-CEAC-DD3A-7C100EB3A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xdr:colOff>
      <xdr:row>13</xdr:row>
      <xdr:rowOff>19050</xdr:rowOff>
    </xdr:from>
    <xdr:to>
      <xdr:col>12</xdr:col>
      <xdr:colOff>7620</xdr:colOff>
      <xdr:row>29</xdr:row>
      <xdr:rowOff>175260</xdr:rowOff>
    </xdr:to>
    <xdr:graphicFrame macro="">
      <xdr:nvGraphicFramePr>
        <xdr:cNvPr id="2" name="Chart 1">
          <a:extLst>
            <a:ext uri="{FF2B5EF4-FFF2-40B4-BE49-F238E27FC236}">
              <a16:creationId xmlns:a16="http://schemas.microsoft.com/office/drawing/2014/main" id="{ABA1BA3E-9818-965E-E124-EC90945CD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2.876611805557" createdVersion="8" refreshedVersion="8" minRefreshableVersion="3" recordCount="41" xr:uid="{A1E1872B-C351-4B9E-A248-50133E8A1481}">
  <cacheSource type="worksheet">
    <worksheetSource ref="A1:N1048576" sheet="Raw Data"/>
  </cacheSource>
  <cacheFields count="14">
    <cacheField name="Item ID" numFmtId="0">
      <sharedItems containsBlank="1"/>
    </cacheField>
    <cacheField name="Item Name" numFmtId="0">
      <sharedItems containsBlank="1" count="42">
        <s v="Rice"/>
        <s v="Shampoo"/>
        <s v="Biscuits"/>
        <s v="Milk"/>
        <s v="Bread"/>
        <s v="Eggs"/>
        <s v="Soap"/>
        <s v="Chips"/>
        <s v="Fruit Juice"/>
        <s v="Tea Powder"/>
        <s v="Salt"/>
        <s v="Cooking Oil"/>
        <s v="Ice Cream"/>
        <s v="Cookies"/>
        <s v="Instant Noodles"/>
        <s v="Garbage Bags"/>
        <s v="Mineral Water"/>
        <s v="Chocolate"/>
        <s v="Frozen Chicken"/>
        <s v="Cheese"/>
        <s v="Handwash "/>
        <s v="Detergent Powder"/>
        <s v="Dishwash Liquid"/>
        <s v="Tissue Paper"/>
        <s v="Soft Drinks"/>
        <s v="Toothpaste"/>
        <s v="Face Wash"/>
        <s v="Cake"/>
        <s v="Butter"/>
        <s v="Potatoes"/>
        <s v="Onions"/>
        <s v="Bananas"/>
        <s v="Oranges"/>
        <s v="Spices Mix"/>
        <s v="Aluminium Foil"/>
        <s v="Hand Sanitizer"/>
        <s v="Cashews"/>
        <s v="Spinach"/>
        <s v="Pickles"/>
        <s v="Glass Cleaner"/>
        <m/>
        <s v="Handwash Liquid" u="1"/>
      </sharedItems>
    </cacheField>
    <cacheField name="Category" numFmtId="0">
      <sharedItems containsBlank="1" count="12">
        <s v="Grocery"/>
        <s v="Personal Care"/>
        <s v="Snacks"/>
        <s v="Dairy"/>
        <s v="Bakery"/>
        <s v="Beverages"/>
        <s v="Frozen Foods"/>
        <s v="Packaged Food"/>
        <s v="Household"/>
        <s v="Vegetables"/>
        <s v="Fruits"/>
        <m/>
      </sharedItems>
    </cacheField>
    <cacheField name="Subcategory" numFmtId="0">
      <sharedItems containsBlank="1"/>
    </cacheField>
    <cacheField name="Stock In" numFmtId="0">
      <sharedItems containsString="0" containsBlank="1" containsNumber="1" containsInteger="1" minValue="40" maxValue="150"/>
    </cacheField>
    <cacheField name="Stock Out" numFmtId="0">
      <sharedItems containsString="0" containsBlank="1" containsNumber="1" containsInteger="1" minValue="10" maxValue="95"/>
    </cacheField>
    <cacheField name="Current Stock" numFmtId="0">
      <sharedItems containsString="0" containsBlank="1" containsNumber="1" containsInteger="1" minValue="5" maxValue="80"/>
    </cacheField>
    <cacheField name="Reorder Level" numFmtId="0">
      <sharedItems containsString="0" containsBlank="1" containsNumber="1" containsInteger="1" minValue="10" maxValue="40"/>
    </cacheField>
    <cacheField name="Supplier" numFmtId="0">
      <sharedItems containsBlank="1" count="29">
        <s v="AgroFresh Supplies Pvt Ltd"/>
        <s v="CarePlus Distribution Ltd"/>
        <s v="CrunchBake Pvt Ltd"/>
        <s v="FreshFarm Dairy Ltd"/>
        <s v="BakeHouse Distributors"/>
        <s v="FarmFresh Poultry Ltd"/>
        <s v="HygieneCorp Suppliers"/>
        <s v="CrunchTime Foods Ltd"/>
        <s v="FreshSip Distributors"/>
        <s v="AssamLeaf Distributors"/>
        <s v="ChillFreeze Logistics Ltd"/>
        <s v="QuickBite Foods Pvt Ltd"/>
        <s v="UtilityPlus Wholesale"/>
        <s v="AquaPure Distributors"/>
        <s v="ChocoDelight Chocolate Co."/>
        <s v="ColdChain Proteins Ltd"/>
        <s v="DairyDelight Suppliers"/>
        <s v="CleanHome Supplies Pvt Ltd"/>
        <s v="HomeCare Essentials Ltd"/>
        <s v="SoftServe Paper Co."/>
        <s v="FizzyBev Supply Chain Ltd"/>
        <s v="SmileCare Wholesale Ltd"/>
        <s v="GlowSkin Distributors"/>
        <s v="FreshFarm Produce Suppliers"/>
        <s v="SpiceRoute Imports"/>
        <s v="NutriGrain Suppliers"/>
        <s v="GreenLeaf Organics"/>
        <s v="SparkleClean Distributors"/>
        <m/>
      </sharedItems>
    </cacheField>
    <cacheField name="Stock Status" numFmtId="0">
      <sharedItems containsBlank="1" count="3">
        <s v="OK"/>
        <s v="Reorder"/>
        <m/>
      </sharedItems>
    </cacheField>
    <cacheField name="Turnover" numFmtId="0">
      <sharedItems containsString="0" containsBlank="1" containsNumber="1" minValue="0.25" maxValue="7"/>
    </cacheField>
    <cacheField name="Turnover Category" numFmtId="0">
      <sharedItems containsBlank="1"/>
    </cacheField>
    <cacheField name="Stock Gap" numFmtId="0">
      <sharedItems containsString="0" containsBlank="1" containsNumber="1" containsInteger="1" minValue="-10" maxValue="55"/>
    </cacheField>
    <cacheField name="Stock Health Status" numFmtId="0">
      <sharedItems containsBlank="1"/>
    </cacheField>
  </cacheFields>
  <extLst>
    <ext xmlns:x14="http://schemas.microsoft.com/office/spreadsheetml/2009/9/main" uri="{725AE2AE-9491-48be-B2B4-4EB974FC3084}">
      <x14:pivotCacheDefinition pivotCacheId="16825437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3.131990277776" createdVersion="8" refreshedVersion="8" minRefreshableVersion="3" recordCount="41" xr:uid="{9C18D434-51C2-4BB5-BB05-B1F12B7ACCBF}">
  <cacheSource type="worksheet">
    <worksheetSource ref="A1:B1048576" sheet="Calculations"/>
  </cacheSource>
  <cacheFields count="9">
    <cacheField name="Rank" numFmtId="0">
      <sharedItems containsString="0" containsBlank="1" containsNumber="1" containsInteger="1" minValue="1" maxValue="40"/>
    </cacheField>
    <cacheField name="Item ID" numFmtId="0">
      <sharedItems containsBlank="1"/>
    </cacheField>
    <cacheField name="Item Name" numFmtId="0">
      <sharedItems containsBlank="1" count="41">
        <s v="Potatoes"/>
        <s v="Onions"/>
        <s v="Fruit Juice"/>
        <s v="Handwash "/>
        <s v="Mineral Water"/>
        <s v="Eggs"/>
        <s v="Frozen Chicken"/>
        <s v="Detergent Powder"/>
        <s v="Tissue Paper"/>
        <s v="Bananas"/>
        <s v="Spinach"/>
        <s v="Cheese"/>
        <s v="Hand Sanitizer"/>
        <s v="Chips"/>
        <s v="Garbage Bags"/>
        <s v="Chocolate"/>
        <s v="Dishwash Liquid"/>
        <s v="Soft Drinks"/>
        <s v="Oranges"/>
        <s v="Face Wash"/>
        <s v="Milk"/>
        <s v="Instant Noodles"/>
        <s v="Toothpaste"/>
        <s v="Aluminium Foil"/>
        <s v="Spices Mix"/>
        <s v="Cake"/>
        <s v="Butter"/>
        <s v="Glass Cleaner"/>
        <s v="Bread"/>
        <s v="Pickles"/>
        <s v="Soap"/>
        <s v="Cookies"/>
        <s v="Cashews"/>
        <s v="Biscuits"/>
        <s v="Rice"/>
        <s v="Salt"/>
        <s v="Ice Cream"/>
        <s v="Tea Powder"/>
        <s v="Cooking Oil"/>
        <s v="Shampoo"/>
        <m/>
      </sharedItems>
    </cacheField>
    <cacheField name="Stock Out" numFmtId="0">
      <sharedItems containsString="0" containsBlank="1" containsNumber="1" containsInteger="1" minValue="10" maxValue="95"/>
    </cacheField>
    <cacheField name="Stock Out %" numFmtId="0">
      <sharedItems containsString="0" containsBlank="1" containsNumber="1" minValue="4.9140049140049139E-3" maxValue="4.6683046683046681E-2"/>
    </cacheField>
    <cacheField name="Cumulative %" numFmtId="0">
      <sharedItems containsString="0" containsBlank="1" containsNumber="1" minValue="4.6683046683046681E-2" maxValue="1.0000000000000002"/>
    </cacheField>
    <cacheField name="ABC Category" numFmtId="0">
      <sharedItems containsBlank="1" count="4">
        <s v="A"/>
        <s v="B"/>
        <s v="C"/>
        <m/>
      </sharedItems>
    </cacheField>
    <cacheField name="Stock Status" numFmtId="0">
      <sharedItems containsBlank="1"/>
    </cacheField>
    <cacheField name="Reorder Priority"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4.134007407411" createdVersion="8" refreshedVersion="8" minRefreshableVersion="3" recordCount="84" xr:uid="{4ADD557C-F050-4407-B302-A22FF44535BB}">
  <cacheSource type="worksheet">
    <worksheetSource ref="A1:E1048576" sheet="Monthly Demand Data"/>
  </cacheSource>
  <cacheFields count="5">
    <cacheField name="Item ID" numFmtId="0">
      <sharedItems containsBlank="1"/>
    </cacheField>
    <cacheField name="Item Name" numFmtId="0">
      <sharedItems containsBlank="1" count="13">
        <s v="Potatoes"/>
        <m/>
        <s v="Onions"/>
        <s v="Fruit Juice"/>
        <s v="Eggs"/>
        <s v="Mineral Water"/>
        <s v="Bananas"/>
        <s v="Handwash "/>
        <s v="Detergent Powder"/>
        <s v="Bread"/>
        <s v="Butter"/>
        <s v="Soap"/>
        <s v="Cooking Oil"/>
      </sharedItems>
    </cacheField>
    <cacheField name="Month " numFmtId="0">
      <sharedItems containsBlank="1" count="7">
        <s v="January"/>
        <s v="February"/>
        <s v="March"/>
        <s v="April"/>
        <s v="May"/>
        <s v="June"/>
        <m/>
      </sharedItems>
    </cacheField>
    <cacheField name="Demand" numFmtId="0">
      <sharedItems containsString="0" containsBlank="1" containsNumber="1" containsInteger="1" minValue="2" maxValue="30"/>
    </cacheField>
    <cacheField name="3-Month Moving Average" numFmtId="0">
      <sharedItems containsBlank="1" containsMixedTypes="1" containsNumber="1" minValue="2.33" maxValue="21.6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s v="I001"/>
    <x v="0"/>
    <x v="0"/>
    <s v="Staples"/>
    <n v="100"/>
    <n v="20"/>
    <n v="80"/>
    <n v="30"/>
    <x v="0"/>
    <x v="0"/>
    <n v="0.25"/>
    <s v="Slow"/>
    <n v="50"/>
    <s v="Safe"/>
  </r>
  <r>
    <s v="I002"/>
    <x v="1"/>
    <x v="1"/>
    <s v="Hair Care"/>
    <n v="50"/>
    <n v="10"/>
    <n v="40"/>
    <n v="15"/>
    <x v="1"/>
    <x v="0"/>
    <n v="0.25"/>
    <s v="Slow"/>
    <n v="25"/>
    <s v="Safe"/>
  </r>
  <r>
    <s v="I003"/>
    <x v="2"/>
    <x v="2"/>
    <s v="Packaged Snacks"/>
    <n v="80"/>
    <n v="25"/>
    <n v="55"/>
    <n v="20"/>
    <x v="2"/>
    <x v="0"/>
    <n v="0.45454545454545453"/>
    <s v="Slow"/>
    <n v="35"/>
    <s v="Safe"/>
  </r>
  <r>
    <s v="I004"/>
    <x v="3"/>
    <x v="3"/>
    <s v="Fresh Dairy"/>
    <n v="60"/>
    <n v="50"/>
    <n v="10"/>
    <n v="20"/>
    <x v="3"/>
    <x v="1"/>
    <n v="5"/>
    <s v="Fast"/>
    <n v="-10"/>
    <s v="Critical"/>
  </r>
  <r>
    <s v="I005"/>
    <x v="4"/>
    <x v="4"/>
    <s v="Packaged Bakery"/>
    <n v="40"/>
    <n v="35"/>
    <n v="5"/>
    <n v="10"/>
    <x v="4"/>
    <x v="1"/>
    <n v="7"/>
    <s v="Fast"/>
    <n v="-5"/>
    <s v="Critical"/>
  </r>
  <r>
    <s v="I006"/>
    <x v="5"/>
    <x v="3"/>
    <s v="Poultry Products"/>
    <n v="100"/>
    <n v="70"/>
    <n v="30"/>
    <n v="30"/>
    <x v="5"/>
    <x v="0"/>
    <n v="2.3333333333333335"/>
    <s v="Fast"/>
    <n v="0"/>
    <s v="Low Buffer"/>
  </r>
  <r>
    <s v="I007"/>
    <x v="6"/>
    <x v="1"/>
    <s v="Body Care"/>
    <n v="70"/>
    <n v="30"/>
    <n v="40"/>
    <n v="25"/>
    <x v="6"/>
    <x v="0"/>
    <n v="0.75"/>
    <s v="Slow"/>
    <n v="15"/>
    <s v="Safe"/>
  </r>
  <r>
    <s v="I008"/>
    <x v="7"/>
    <x v="2"/>
    <s v="Packaged Snacks"/>
    <n v="90"/>
    <n v="60"/>
    <n v="30"/>
    <n v="30"/>
    <x v="7"/>
    <x v="0"/>
    <n v="2"/>
    <s v="Fast"/>
    <n v="0"/>
    <s v="Low Buffer"/>
  </r>
  <r>
    <s v="I009"/>
    <x v="8"/>
    <x v="5"/>
    <s v="Non-Carbonated"/>
    <n v="120"/>
    <n v="80"/>
    <n v="40"/>
    <n v="40"/>
    <x v="8"/>
    <x v="0"/>
    <n v="2"/>
    <s v="Fast"/>
    <n v="0"/>
    <s v="Low Buffer"/>
  </r>
  <r>
    <s v="I010"/>
    <x v="9"/>
    <x v="0"/>
    <s v="Hot Beverages"/>
    <n v="50"/>
    <n v="15"/>
    <n v="35"/>
    <n v="20"/>
    <x v="9"/>
    <x v="0"/>
    <n v="0.42857142857142855"/>
    <s v="Slow"/>
    <n v="15"/>
    <s v="Safe"/>
  </r>
  <r>
    <s v="I011"/>
    <x v="10"/>
    <x v="0"/>
    <s v="Essentials"/>
    <n v="80"/>
    <n v="20"/>
    <n v="60"/>
    <n v="30"/>
    <x v="0"/>
    <x v="0"/>
    <n v="0.33333333333333331"/>
    <s v="Slow"/>
    <n v="30"/>
    <s v="Safe"/>
  </r>
  <r>
    <s v="I012"/>
    <x v="11"/>
    <x v="0"/>
    <s v="Edible Oils"/>
    <n v="60"/>
    <n v="15"/>
    <n v="45"/>
    <n v="20"/>
    <x v="0"/>
    <x v="0"/>
    <n v="0.33333333333333331"/>
    <s v="Slow"/>
    <n v="25"/>
    <s v="Safe"/>
  </r>
  <r>
    <s v="I013"/>
    <x v="12"/>
    <x v="6"/>
    <s v="Frozen Desserts"/>
    <n v="70"/>
    <n v="20"/>
    <n v="50"/>
    <n v="25"/>
    <x v="10"/>
    <x v="0"/>
    <n v="0.4"/>
    <s v="Slow"/>
    <n v="25"/>
    <s v="Safe"/>
  </r>
  <r>
    <s v="I014"/>
    <x v="13"/>
    <x v="4"/>
    <s v="Packaged Snacks"/>
    <n v="80"/>
    <n v="30"/>
    <n v="50"/>
    <n v="30"/>
    <x v="2"/>
    <x v="0"/>
    <n v="0.6"/>
    <s v="Slow"/>
    <n v="20"/>
    <s v="Safe"/>
  </r>
  <r>
    <s v="I015"/>
    <x v="14"/>
    <x v="7"/>
    <s v="Ready-to-Eat/Instant Food"/>
    <n v="90"/>
    <n v="50"/>
    <n v="40"/>
    <n v="30"/>
    <x v="11"/>
    <x v="0"/>
    <n v="1.25"/>
    <s v="Moderate"/>
    <n v="10"/>
    <s v="Safe"/>
  </r>
  <r>
    <s v="I016"/>
    <x v="15"/>
    <x v="8"/>
    <s v="Utility"/>
    <n v="100"/>
    <n v="60"/>
    <n v="40"/>
    <n v="20"/>
    <x v="12"/>
    <x v="0"/>
    <n v="1.5"/>
    <s v="Moderate"/>
    <n v="20"/>
    <s v="Safe"/>
  </r>
  <r>
    <s v="I017"/>
    <x v="16"/>
    <x v="5"/>
    <s v="Packaged Water"/>
    <n v="130"/>
    <n v="75"/>
    <n v="55"/>
    <n v="25"/>
    <x v="13"/>
    <x v="0"/>
    <n v="1.3636363636363635"/>
    <s v="Moderate"/>
    <n v="30"/>
    <s v="Safe"/>
  </r>
  <r>
    <s v="I018"/>
    <x v="17"/>
    <x v="2"/>
    <s v="Confectionery"/>
    <n v="120"/>
    <n v="60"/>
    <n v="60"/>
    <n v="35"/>
    <x v="14"/>
    <x v="0"/>
    <n v="1"/>
    <s v="Moderate"/>
    <n v="25"/>
    <s v="Safe"/>
  </r>
  <r>
    <s v="I019"/>
    <x v="18"/>
    <x v="6"/>
    <s v="Meat"/>
    <n v="150"/>
    <n v="70"/>
    <n v="80"/>
    <n v="40"/>
    <x v="15"/>
    <x v="0"/>
    <n v="0.875"/>
    <s v="Slow"/>
    <n v="40"/>
    <s v="Safe"/>
  </r>
  <r>
    <s v="I020"/>
    <x v="19"/>
    <x v="3"/>
    <s v="Processed Dairy"/>
    <n v="140"/>
    <n v="65"/>
    <n v="75"/>
    <n v="30"/>
    <x v="16"/>
    <x v="0"/>
    <n v="0.8666666666666667"/>
    <s v="Slow"/>
    <n v="45"/>
    <s v="Safe"/>
  </r>
  <r>
    <s v="I021"/>
    <x v="20"/>
    <x v="1"/>
    <s v="Hand Hygiene"/>
    <n v="120"/>
    <n v="80"/>
    <n v="40"/>
    <n v="30"/>
    <x v="6"/>
    <x v="0"/>
    <n v="2"/>
    <s v="Fast"/>
    <n v="10"/>
    <s v="Safe"/>
  </r>
  <r>
    <s v="I022"/>
    <x v="21"/>
    <x v="8"/>
    <s v="Laundry"/>
    <n v="130"/>
    <n v="70"/>
    <n v="60"/>
    <n v="35"/>
    <x v="17"/>
    <x v="0"/>
    <n v="1.1666666666666667"/>
    <s v="Moderate"/>
    <n v="25"/>
    <s v="Safe"/>
  </r>
  <r>
    <s v="I023"/>
    <x v="22"/>
    <x v="8"/>
    <s v="Kitchen Cleaning"/>
    <n v="120"/>
    <n v="60"/>
    <n v="60"/>
    <n v="30"/>
    <x v="18"/>
    <x v="0"/>
    <n v="1"/>
    <s v="Moderate"/>
    <n v="30"/>
    <s v="Safe"/>
  </r>
  <r>
    <s v="I024"/>
    <x v="23"/>
    <x v="8"/>
    <s v="Paper Goods"/>
    <n v="110"/>
    <n v="70"/>
    <n v="40"/>
    <n v="30"/>
    <x v="19"/>
    <x v="0"/>
    <n v="1.75"/>
    <s v="Fast"/>
    <n v="10"/>
    <s v="Safe"/>
  </r>
  <r>
    <s v="I025"/>
    <x v="24"/>
    <x v="5"/>
    <s v="Carbonated Drinks"/>
    <n v="130"/>
    <n v="60"/>
    <n v="70"/>
    <n v="30"/>
    <x v="20"/>
    <x v="0"/>
    <n v="0.8571428571428571"/>
    <s v="Slow"/>
    <n v="40"/>
    <s v="Safe"/>
  </r>
  <r>
    <s v="I026"/>
    <x v="25"/>
    <x v="1"/>
    <s v="Oral Care"/>
    <n v="130"/>
    <n v="50"/>
    <n v="80"/>
    <n v="35"/>
    <x v="21"/>
    <x v="0"/>
    <n v="0.625"/>
    <s v="Slow"/>
    <n v="45"/>
    <s v="Safe"/>
  </r>
  <r>
    <s v="I027"/>
    <x v="26"/>
    <x v="1"/>
    <s v="Skin Care"/>
    <n v="120"/>
    <n v="55"/>
    <n v="65"/>
    <n v="20"/>
    <x v="22"/>
    <x v="0"/>
    <n v="0.84615384615384615"/>
    <s v="Slow"/>
    <n v="45"/>
    <s v="Safe"/>
  </r>
  <r>
    <s v="I028"/>
    <x v="27"/>
    <x v="4"/>
    <s v="Fresh Bakery"/>
    <n v="110"/>
    <n v="40"/>
    <n v="70"/>
    <n v="15"/>
    <x v="4"/>
    <x v="0"/>
    <n v="0.5714285714285714"/>
    <s v="Slow"/>
    <n v="55"/>
    <s v="Safe"/>
  </r>
  <r>
    <s v="I029"/>
    <x v="28"/>
    <x v="3"/>
    <s v="Processed Dairy"/>
    <n v="100"/>
    <n v="40"/>
    <n v="60"/>
    <n v="15"/>
    <x v="3"/>
    <x v="0"/>
    <n v="0.66666666666666663"/>
    <s v="Slow"/>
    <n v="45"/>
    <s v="Safe"/>
  </r>
  <r>
    <s v="I030"/>
    <x v="29"/>
    <x v="9"/>
    <s v="Root Vegetables"/>
    <n v="120"/>
    <n v="95"/>
    <n v="25"/>
    <n v="30"/>
    <x v="0"/>
    <x v="1"/>
    <n v="3.8"/>
    <s v="Fast"/>
    <n v="-5"/>
    <s v="Critical"/>
  </r>
  <r>
    <s v="I031"/>
    <x v="30"/>
    <x v="9"/>
    <s v="Root Vegetables"/>
    <n v="130"/>
    <n v="90"/>
    <n v="40"/>
    <n v="35"/>
    <x v="0"/>
    <x v="0"/>
    <n v="2.25"/>
    <s v="Fast"/>
    <n v="5"/>
    <s v="Low Buffer"/>
  </r>
  <r>
    <s v="I032"/>
    <x v="31"/>
    <x v="10"/>
    <s v="Tropical Fruits"/>
    <n v="110"/>
    <n v="70"/>
    <n v="40"/>
    <n v="25"/>
    <x v="23"/>
    <x v="0"/>
    <n v="1.75"/>
    <s v="Fast"/>
    <n v="15"/>
    <s v="Safe"/>
  </r>
  <r>
    <s v="I033"/>
    <x v="32"/>
    <x v="10"/>
    <s v="Citrus Fruits"/>
    <n v="110"/>
    <n v="60"/>
    <n v="50"/>
    <n v="20"/>
    <x v="23"/>
    <x v="0"/>
    <n v="1.2"/>
    <s v="Moderate"/>
    <n v="30"/>
    <s v="Safe"/>
  </r>
  <r>
    <s v="I034"/>
    <x v="33"/>
    <x v="0"/>
    <s v="Essentials"/>
    <n v="95"/>
    <n v="45"/>
    <n v="50"/>
    <n v="20"/>
    <x v="24"/>
    <x v="0"/>
    <n v="0.9"/>
    <s v="Slow"/>
    <n v="30"/>
    <s v="Safe"/>
  </r>
  <r>
    <s v="I035"/>
    <x v="34"/>
    <x v="8"/>
    <s v="Kitchen Utility"/>
    <n v="90"/>
    <n v="50"/>
    <n v="40"/>
    <n v="25"/>
    <x v="18"/>
    <x v="0"/>
    <n v="1.25"/>
    <s v="Moderate"/>
    <n v="15"/>
    <s v="Safe"/>
  </r>
  <r>
    <s v="I036"/>
    <x v="35"/>
    <x v="1"/>
    <s v="Hand Hygiene"/>
    <n v="100"/>
    <n v="65"/>
    <n v="35"/>
    <n v="30"/>
    <x v="6"/>
    <x v="0"/>
    <n v="1.8571428571428572"/>
    <s v="Fast"/>
    <n v="5"/>
    <s v="Low Buffer"/>
  </r>
  <r>
    <s v="I037"/>
    <x v="36"/>
    <x v="0"/>
    <s v="Dry Fruits"/>
    <n v="80"/>
    <n v="30"/>
    <n v="50"/>
    <n v="20"/>
    <x v="25"/>
    <x v="0"/>
    <n v="0.6"/>
    <s v="Slow"/>
    <n v="30"/>
    <s v="Safe"/>
  </r>
  <r>
    <s v="I038"/>
    <x v="37"/>
    <x v="9"/>
    <s v="Leafy Greens"/>
    <n v="90"/>
    <n v="70"/>
    <n v="20"/>
    <n v="25"/>
    <x v="26"/>
    <x v="1"/>
    <n v="3.5"/>
    <s v="Fast"/>
    <n v="-5"/>
    <s v="Critical"/>
  </r>
  <r>
    <s v="I039"/>
    <x v="38"/>
    <x v="0"/>
    <s v="Preserved Food"/>
    <n v="85"/>
    <n v="35"/>
    <n v="50"/>
    <n v="25"/>
    <x v="24"/>
    <x v="0"/>
    <n v="0.7"/>
    <s v="Slow"/>
    <n v="25"/>
    <s v="Safe"/>
  </r>
  <r>
    <s v="I040"/>
    <x v="39"/>
    <x v="8"/>
    <s v="Cleaning"/>
    <n v="100"/>
    <n v="40"/>
    <n v="60"/>
    <n v="20"/>
    <x v="27"/>
    <x v="0"/>
    <n v="0.66666666666666663"/>
    <s v="Slow"/>
    <n v="40"/>
    <s v="Safe"/>
  </r>
  <r>
    <m/>
    <x v="40"/>
    <x v="11"/>
    <m/>
    <m/>
    <m/>
    <m/>
    <m/>
    <x v="28"/>
    <x v="2"/>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n v="1"/>
    <s v="I030"/>
    <x v="0"/>
    <n v="95"/>
    <n v="4.6683046683046681E-2"/>
    <n v="4.6683046683046681E-2"/>
    <x v="0"/>
    <s v="Reorder"/>
    <s v="URGENT"/>
  </r>
  <r>
    <n v="2"/>
    <s v="I031"/>
    <x v="1"/>
    <n v="90"/>
    <n v="4.4226044226044224E-2"/>
    <n v="9.0909090909090912E-2"/>
    <x v="0"/>
    <s v="OK"/>
    <s v="High"/>
  </r>
  <r>
    <n v="3"/>
    <s v="I009"/>
    <x v="2"/>
    <n v="80"/>
    <n v="3.9312039312039311E-2"/>
    <n v="0.13022113022113022"/>
    <x v="0"/>
    <s v="OK"/>
    <s v="High"/>
  </r>
  <r>
    <n v="4"/>
    <s v="I021"/>
    <x v="3"/>
    <n v="80"/>
    <n v="3.9312039312039311E-2"/>
    <n v="0.16953316953316952"/>
    <x v="0"/>
    <s v="OK"/>
    <s v="High"/>
  </r>
  <r>
    <n v="5"/>
    <s v="I017"/>
    <x v="4"/>
    <n v="75"/>
    <n v="3.6855036855036855E-2"/>
    <n v="0.20638820638820637"/>
    <x v="0"/>
    <s v="OK"/>
    <s v="High"/>
  </r>
  <r>
    <n v="6"/>
    <s v="I006"/>
    <x v="5"/>
    <n v="70"/>
    <n v="3.4398034398034398E-2"/>
    <n v="0.24078624078624078"/>
    <x v="0"/>
    <s v="OK"/>
    <s v="High"/>
  </r>
  <r>
    <n v="7"/>
    <s v="I019"/>
    <x v="6"/>
    <n v="70"/>
    <n v="3.4398034398034398E-2"/>
    <n v="0.27518427518427518"/>
    <x v="0"/>
    <s v="OK"/>
    <s v="High"/>
  </r>
  <r>
    <n v="8"/>
    <s v="I022"/>
    <x v="7"/>
    <n v="70"/>
    <n v="3.4398034398034398E-2"/>
    <n v="0.30958230958230959"/>
    <x v="0"/>
    <s v="OK"/>
    <s v="High"/>
  </r>
  <r>
    <n v="9"/>
    <s v="I024"/>
    <x v="8"/>
    <n v="70"/>
    <n v="3.4398034398034398E-2"/>
    <n v="0.34398034398034399"/>
    <x v="0"/>
    <s v="OK"/>
    <s v="High"/>
  </r>
  <r>
    <n v="10"/>
    <s v="I032"/>
    <x v="9"/>
    <n v="70"/>
    <n v="3.4398034398034398E-2"/>
    <n v="0.3783783783783784"/>
    <x v="0"/>
    <s v="OK"/>
    <s v="High"/>
  </r>
  <r>
    <n v="11"/>
    <s v="I038"/>
    <x v="10"/>
    <n v="70"/>
    <n v="3.4398034398034398E-2"/>
    <n v="0.4127764127764128"/>
    <x v="0"/>
    <s v="Reorder"/>
    <s v="URGENT"/>
  </r>
  <r>
    <n v="12"/>
    <s v="I020"/>
    <x v="11"/>
    <n v="65"/>
    <n v="3.1941031941031942E-2"/>
    <n v="0.44471744471744473"/>
    <x v="0"/>
    <s v="OK"/>
    <s v="High"/>
  </r>
  <r>
    <n v="13"/>
    <s v="I036"/>
    <x v="12"/>
    <n v="65"/>
    <n v="3.1941031941031942E-2"/>
    <n v="0.47665847665847666"/>
    <x v="0"/>
    <s v="OK"/>
    <s v="High"/>
  </r>
  <r>
    <n v="14"/>
    <s v="I008"/>
    <x v="13"/>
    <n v="60"/>
    <n v="2.9484029484029485E-2"/>
    <n v="0.50614250614250611"/>
    <x v="0"/>
    <s v="OK"/>
    <s v="High"/>
  </r>
  <r>
    <n v="15"/>
    <s v="I016"/>
    <x v="14"/>
    <n v="60"/>
    <n v="2.9484029484029485E-2"/>
    <n v="0.53562653562653562"/>
    <x v="0"/>
    <s v="OK"/>
    <s v="High"/>
  </r>
  <r>
    <n v="16"/>
    <s v="I018"/>
    <x v="15"/>
    <n v="60"/>
    <n v="2.9484029484029485E-2"/>
    <n v="0.56511056511056512"/>
    <x v="0"/>
    <s v="OK"/>
    <s v="High"/>
  </r>
  <r>
    <n v="17"/>
    <s v="I023"/>
    <x v="16"/>
    <n v="60"/>
    <n v="2.9484029484029485E-2"/>
    <n v="0.59459459459459463"/>
    <x v="0"/>
    <s v="OK"/>
    <s v="High"/>
  </r>
  <r>
    <n v="18"/>
    <s v="I025"/>
    <x v="17"/>
    <n v="60"/>
    <n v="2.9484029484029485E-2"/>
    <n v="0.62407862407862413"/>
    <x v="0"/>
    <s v="OK"/>
    <s v="High"/>
  </r>
  <r>
    <n v="19"/>
    <s v="I033"/>
    <x v="18"/>
    <n v="60"/>
    <n v="2.9484029484029485E-2"/>
    <n v="0.65356265356265364"/>
    <x v="0"/>
    <s v="OK"/>
    <s v="High"/>
  </r>
  <r>
    <n v="20"/>
    <s v="I027"/>
    <x v="19"/>
    <n v="55"/>
    <n v="2.7027027027027029E-2"/>
    <n v="0.68058968058968072"/>
    <x v="0"/>
    <s v="OK"/>
    <s v="High"/>
  </r>
  <r>
    <n v="21"/>
    <s v="I004"/>
    <x v="20"/>
    <n v="50"/>
    <n v="2.4570024570024569E-2"/>
    <n v="0.70515970515970527"/>
    <x v="1"/>
    <s v="Reorder"/>
    <s v="Medium"/>
  </r>
  <r>
    <n v="22"/>
    <s v="I015"/>
    <x v="21"/>
    <n v="50"/>
    <n v="2.4570024570024569E-2"/>
    <n v="0.72972972972972983"/>
    <x v="1"/>
    <s v="OK"/>
    <s v="Medium"/>
  </r>
  <r>
    <n v="23"/>
    <s v="I026"/>
    <x v="22"/>
    <n v="50"/>
    <n v="2.4570024570024569E-2"/>
    <n v="0.75429975429975438"/>
    <x v="1"/>
    <s v="OK"/>
    <s v="Medium"/>
  </r>
  <r>
    <n v="24"/>
    <s v="I035"/>
    <x v="23"/>
    <n v="50"/>
    <n v="2.4570024570024569E-2"/>
    <n v="0.77886977886977893"/>
    <x v="1"/>
    <s v="OK"/>
    <s v="Medium"/>
  </r>
  <r>
    <n v="25"/>
    <s v="I034"/>
    <x v="24"/>
    <n v="45"/>
    <n v="2.2113022113022112E-2"/>
    <n v="0.80098280098280106"/>
    <x v="1"/>
    <s v="OK"/>
    <s v="Medium"/>
  </r>
  <r>
    <n v="26"/>
    <s v="I028"/>
    <x v="25"/>
    <n v="40"/>
    <n v="1.9656019656019656E-2"/>
    <n v="0.82063882063882077"/>
    <x v="1"/>
    <s v="OK"/>
    <s v="Medium"/>
  </r>
  <r>
    <n v="27"/>
    <s v="I029"/>
    <x v="26"/>
    <n v="40"/>
    <n v="1.9656019656019656E-2"/>
    <n v="0.84029484029484047"/>
    <x v="1"/>
    <s v="OK"/>
    <s v="Medium"/>
  </r>
  <r>
    <n v="28"/>
    <s v="I040"/>
    <x v="27"/>
    <n v="40"/>
    <n v="1.9656019656019656E-2"/>
    <n v="0.85995085995086018"/>
    <x v="1"/>
    <s v="OK"/>
    <s v="Medium"/>
  </r>
  <r>
    <n v="29"/>
    <s v="I005"/>
    <x v="28"/>
    <n v="35"/>
    <n v="1.7199017199017199E-2"/>
    <n v="0.87714987714987736"/>
    <x v="1"/>
    <s v="Reorder"/>
    <s v="Medium"/>
  </r>
  <r>
    <n v="30"/>
    <s v="I039"/>
    <x v="29"/>
    <n v="35"/>
    <n v="1.7199017199017199E-2"/>
    <n v="0.89434889434889453"/>
    <x v="1"/>
    <s v="OK"/>
    <s v="Medium"/>
  </r>
  <r>
    <n v="31"/>
    <s v="I007"/>
    <x v="30"/>
    <n v="30"/>
    <n v="1.4742014742014743E-2"/>
    <n v="0.90909090909090928"/>
    <x v="2"/>
    <s v="OK"/>
    <s v="Low"/>
  </r>
  <r>
    <n v="32"/>
    <s v="I014"/>
    <x v="31"/>
    <n v="30"/>
    <n v="1.4742014742014743E-2"/>
    <n v="0.92383292383292404"/>
    <x v="2"/>
    <s v="OK"/>
    <s v="Low"/>
  </r>
  <r>
    <n v="33"/>
    <s v="I037"/>
    <x v="32"/>
    <n v="30"/>
    <n v="1.4742014742014743E-2"/>
    <n v="0.93857493857493879"/>
    <x v="2"/>
    <s v="OK"/>
    <s v="Low"/>
  </r>
  <r>
    <n v="34"/>
    <s v="I003"/>
    <x v="33"/>
    <n v="25"/>
    <n v="1.2285012285012284E-2"/>
    <n v="0.95085995085995112"/>
    <x v="2"/>
    <s v="OK"/>
    <s v="Low"/>
  </r>
  <r>
    <n v="35"/>
    <s v="I001"/>
    <x v="34"/>
    <n v="20"/>
    <n v="9.8280098280098278E-3"/>
    <n v="0.96068796068796092"/>
    <x v="2"/>
    <s v="OK"/>
    <s v="Low"/>
  </r>
  <r>
    <n v="36"/>
    <s v="I011"/>
    <x v="35"/>
    <n v="20"/>
    <n v="9.8280098280098278E-3"/>
    <n v="0.97051597051597072"/>
    <x v="2"/>
    <s v="OK"/>
    <s v="Low"/>
  </r>
  <r>
    <n v="37"/>
    <s v="I013"/>
    <x v="36"/>
    <n v="20"/>
    <n v="9.8280098280098278E-3"/>
    <n v="0.98034398034398051"/>
    <x v="2"/>
    <s v="OK"/>
    <s v="Low"/>
  </r>
  <r>
    <n v="38"/>
    <s v="I010"/>
    <x v="37"/>
    <n v="15"/>
    <n v="7.3710073710073713E-3"/>
    <n v="0.98771498771498789"/>
    <x v="2"/>
    <s v="OK"/>
    <s v="Low"/>
  </r>
  <r>
    <n v="39"/>
    <s v="I012"/>
    <x v="38"/>
    <n v="15"/>
    <n v="7.3710073710073713E-3"/>
    <n v="0.99508599508599527"/>
    <x v="2"/>
    <s v="OK"/>
    <s v="Low"/>
  </r>
  <r>
    <n v="40"/>
    <s v="I002"/>
    <x v="39"/>
    <n v="10"/>
    <n v="4.9140049140049139E-3"/>
    <n v="1.0000000000000002"/>
    <x v="2"/>
    <s v="OK"/>
    <s v="Low"/>
  </r>
  <r>
    <m/>
    <m/>
    <x v="40"/>
    <m/>
    <m/>
    <m/>
    <x v="3"/>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I030"/>
    <x v="0"/>
    <x v="0"/>
    <n v="25"/>
    <s v="NA"/>
  </r>
  <r>
    <s v="I030"/>
    <x v="0"/>
    <x v="1"/>
    <n v="20"/>
    <s v="NA"/>
  </r>
  <r>
    <s v="I030"/>
    <x v="0"/>
    <x v="2"/>
    <n v="20"/>
    <n v="21.67"/>
  </r>
  <r>
    <s v="I030"/>
    <x v="0"/>
    <x v="3"/>
    <n v="10"/>
    <n v="16.670000000000002"/>
  </r>
  <r>
    <s v="I030"/>
    <x v="0"/>
    <x v="4"/>
    <n v="10"/>
    <n v="13.33"/>
  </r>
  <r>
    <s v="I030"/>
    <x v="0"/>
    <x v="5"/>
    <n v="10"/>
    <n v="10"/>
  </r>
  <r>
    <m/>
    <x v="1"/>
    <x v="6"/>
    <m/>
    <m/>
  </r>
  <r>
    <s v="I031"/>
    <x v="2"/>
    <x v="0"/>
    <n v="30"/>
    <s v="NA"/>
  </r>
  <r>
    <s v="I031"/>
    <x v="2"/>
    <x v="1"/>
    <n v="15"/>
    <s v="NA"/>
  </r>
  <r>
    <s v="I031"/>
    <x v="2"/>
    <x v="2"/>
    <n v="15"/>
    <n v="20"/>
  </r>
  <r>
    <s v="I031"/>
    <x v="2"/>
    <x v="3"/>
    <n v="10"/>
    <n v="13.33"/>
  </r>
  <r>
    <s v="I031"/>
    <x v="2"/>
    <x v="4"/>
    <n v="15"/>
    <n v="13.33"/>
  </r>
  <r>
    <s v="I031"/>
    <x v="2"/>
    <x v="5"/>
    <n v="5"/>
    <n v="10"/>
  </r>
  <r>
    <m/>
    <x v="1"/>
    <x v="6"/>
    <m/>
    <m/>
  </r>
  <r>
    <s v="I009"/>
    <x v="3"/>
    <x v="0"/>
    <n v="20"/>
    <s v="NA"/>
  </r>
  <r>
    <s v="I009"/>
    <x v="3"/>
    <x v="1"/>
    <n v="10"/>
    <s v="NA"/>
  </r>
  <r>
    <s v="I009"/>
    <x v="3"/>
    <x v="2"/>
    <n v="15"/>
    <n v="15"/>
  </r>
  <r>
    <s v="I009"/>
    <x v="3"/>
    <x v="3"/>
    <n v="15"/>
    <n v="13.33"/>
  </r>
  <r>
    <s v="I009"/>
    <x v="3"/>
    <x v="4"/>
    <n v="10"/>
    <n v="13.33"/>
  </r>
  <r>
    <s v="I009"/>
    <x v="3"/>
    <x v="5"/>
    <n v="10"/>
    <n v="11.67"/>
  </r>
  <r>
    <m/>
    <x v="1"/>
    <x v="6"/>
    <m/>
    <m/>
  </r>
  <r>
    <s v="I006"/>
    <x v="4"/>
    <x v="0"/>
    <n v="15"/>
    <s v="NA"/>
  </r>
  <r>
    <s v="I006"/>
    <x v="4"/>
    <x v="1"/>
    <n v="10"/>
    <s v="NA"/>
  </r>
  <r>
    <s v="I006"/>
    <x v="4"/>
    <x v="2"/>
    <n v="10"/>
    <n v="11.67"/>
  </r>
  <r>
    <s v="I006"/>
    <x v="4"/>
    <x v="3"/>
    <n v="15"/>
    <n v="11.67"/>
  </r>
  <r>
    <s v="I006"/>
    <x v="4"/>
    <x v="4"/>
    <n v="10"/>
    <n v="11.67"/>
  </r>
  <r>
    <s v="I006"/>
    <x v="4"/>
    <x v="5"/>
    <n v="10"/>
    <n v="11.67"/>
  </r>
  <r>
    <m/>
    <x v="1"/>
    <x v="6"/>
    <m/>
    <m/>
  </r>
  <r>
    <s v="I017"/>
    <x v="5"/>
    <x v="0"/>
    <n v="15"/>
    <s v="NA"/>
  </r>
  <r>
    <s v="I017"/>
    <x v="5"/>
    <x v="1"/>
    <n v="25"/>
    <s v="NA"/>
  </r>
  <r>
    <s v="I017"/>
    <x v="5"/>
    <x v="2"/>
    <n v="5"/>
    <n v="15"/>
  </r>
  <r>
    <s v="I017"/>
    <x v="5"/>
    <x v="3"/>
    <n v="15"/>
    <n v="15"/>
  </r>
  <r>
    <s v="I017"/>
    <x v="5"/>
    <x v="4"/>
    <n v="5"/>
    <n v="8.33"/>
  </r>
  <r>
    <s v="I017"/>
    <x v="5"/>
    <x v="5"/>
    <n v="10"/>
    <n v="10"/>
  </r>
  <r>
    <m/>
    <x v="1"/>
    <x v="6"/>
    <m/>
    <m/>
  </r>
  <r>
    <s v="I032"/>
    <x v="6"/>
    <x v="0"/>
    <n v="10"/>
    <s v="NA"/>
  </r>
  <r>
    <s v="I032"/>
    <x v="6"/>
    <x v="1"/>
    <n v="20"/>
    <s v="NA"/>
  </r>
  <r>
    <s v="I032"/>
    <x v="6"/>
    <x v="2"/>
    <n v="25"/>
    <n v="18.329999999999998"/>
  </r>
  <r>
    <s v="I032"/>
    <x v="6"/>
    <x v="3"/>
    <n v="5"/>
    <n v="16.670000000000002"/>
  </r>
  <r>
    <s v="I032"/>
    <x v="6"/>
    <x v="4"/>
    <n v="5"/>
    <n v="11.67"/>
  </r>
  <r>
    <s v="I032"/>
    <x v="6"/>
    <x v="5"/>
    <n v="5"/>
    <n v="5"/>
  </r>
  <r>
    <m/>
    <x v="1"/>
    <x v="6"/>
    <m/>
    <m/>
  </r>
  <r>
    <s v="I021"/>
    <x v="7"/>
    <x v="0"/>
    <n v="10"/>
    <s v="NA"/>
  </r>
  <r>
    <s v="I021"/>
    <x v="7"/>
    <x v="1"/>
    <n v="20"/>
    <s v="NA"/>
  </r>
  <r>
    <s v="I021"/>
    <x v="7"/>
    <x v="2"/>
    <n v="25"/>
    <n v="18.329999999999998"/>
  </r>
  <r>
    <s v="I021"/>
    <x v="7"/>
    <x v="3"/>
    <n v="10"/>
    <n v="18.329999999999998"/>
  </r>
  <r>
    <s v="I021"/>
    <x v="7"/>
    <x v="4"/>
    <n v="5"/>
    <n v="13.33"/>
  </r>
  <r>
    <s v="I021"/>
    <x v="7"/>
    <x v="5"/>
    <n v="10"/>
    <n v="8.33"/>
  </r>
  <r>
    <m/>
    <x v="1"/>
    <x v="6"/>
    <m/>
    <m/>
  </r>
  <r>
    <s v="I022"/>
    <x v="8"/>
    <x v="0"/>
    <n v="15"/>
    <s v="NA"/>
  </r>
  <r>
    <s v="I022"/>
    <x v="8"/>
    <x v="1"/>
    <n v="10"/>
    <s v="NA"/>
  </r>
  <r>
    <s v="I022"/>
    <x v="8"/>
    <x v="2"/>
    <n v="10"/>
    <n v="11.67"/>
  </r>
  <r>
    <s v="I022"/>
    <x v="8"/>
    <x v="3"/>
    <n v="20"/>
    <n v="13.33"/>
  </r>
  <r>
    <s v="I022"/>
    <x v="8"/>
    <x v="4"/>
    <n v="10"/>
    <n v="13.33"/>
  </r>
  <r>
    <s v="I022"/>
    <x v="8"/>
    <x v="5"/>
    <n v="5"/>
    <n v="11.67"/>
  </r>
  <r>
    <m/>
    <x v="1"/>
    <x v="6"/>
    <m/>
    <m/>
  </r>
  <r>
    <s v="I005"/>
    <x v="9"/>
    <x v="0"/>
    <n v="5"/>
    <s v="NA"/>
  </r>
  <r>
    <s v="I005"/>
    <x v="9"/>
    <x v="1"/>
    <n v="5"/>
    <s v="NA"/>
  </r>
  <r>
    <s v="I005"/>
    <x v="9"/>
    <x v="2"/>
    <n v="5"/>
    <n v="5"/>
  </r>
  <r>
    <s v="I005"/>
    <x v="9"/>
    <x v="3"/>
    <n v="10"/>
    <n v="6.67"/>
  </r>
  <r>
    <s v="I005"/>
    <x v="9"/>
    <x v="4"/>
    <n v="5"/>
    <n v="6.67"/>
  </r>
  <r>
    <s v="I005"/>
    <x v="9"/>
    <x v="5"/>
    <n v="5"/>
    <n v="6.67"/>
  </r>
  <r>
    <m/>
    <x v="1"/>
    <x v="6"/>
    <m/>
    <m/>
  </r>
  <r>
    <s v="I029"/>
    <x v="10"/>
    <x v="0"/>
    <n v="5"/>
    <s v="NA"/>
  </r>
  <r>
    <s v="I029"/>
    <x v="10"/>
    <x v="1"/>
    <n v="10"/>
    <s v="NA"/>
  </r>
  <r>
    <s v="I029"/>
    <x v="10"/>
    <x v="2"/>
    <n v="10"/>
    <n v="8.33"/>
  </r>
  <r>
    <s v="I029"/>
    <x v="10"/>
    <x v="3"/>
    <n v="5"/>
    <n v="8.33"/>
  </r>
  <r>
    <s v="I029"/>
    <x v="10"/>
    <x v="4"/>
    <n v="5"/>
    <n v="6.67"/>
  </r>
  <r>
    <s v="I029"/>
    <x v="10"/>
    <x v="5"/>
    <n v="5"/>
    <n v="5"/>
  </r>
  <r>
    <m/>
    <x v="1"/>
    <x v="6"/>
    <m/>
    <m/>
  </r>
  <r>
    <s v="I007"/>
    <x v="11"/>
    <x v="0"/>
    <n v="5"/>
    <s v="NA"/>
  </r>
  <r>
    <s v="I007"/>
    <x v="11"/>
    <x v="1"/>
    <n v="5"/>
    <s v="NA"/>
  </r>
  <r>
    <s v="I007"/>
    <x v="11"/>
    <x v="2"/>
    <n v="4"/>
    <n v="4.67"/>
  </r>
  <r>
    <s v="I007"/>
    <x v="11"/>
    <x v="3"/>
    <n v="3"/>
    <n v="4"/>
  </r>
  <r>
    <s v="I007"/>
    <x v="11"/>
    <x v="4"/>
    <n v="6"/>
    <n v="4.33"/>
  </r>
  <r>
    <s v="I007"/>
    <x v="11"/>
    <x v="5"/>
    <n v="7"/>
    <n v="5.33"/>
  </r>
  <r>
    <m/>
    <x v="1"/>
    <x v="6"/>
    <m/>
    <m/>
  </r>
  <r>
    <s v="I012"/>
    <x v="12"/>
    <x v="0"/>
    <n v="2"/>
    <s v="NA"/>
  </r>
  <r>
    <s v="I012"/>
    <x v="12"/>
    <x v="1"/>
    <n v="2"/>
    <s v="NA"/>
  </r>
  <r>
    <s v="I012"/>
    <x v="12"/>
    <x v="2"/>
    <n v="3"/>
    <n v="2.33"/>
  </r>
  <r>
    <s v="I012"/>
    <x v="12"/>
    <x v="3"/>
    <n v="2"/>
    <n v="2.33"/>
  </r>
  <r>
    <s v="I012"/>
    <x v="12"/>
    <x v="4"/>
    <n v="3"/>
    <n v="2.67"/>
  </r>
  <r>
    <s v="I012"/>
    <x v="12"/>
    <x v="5"/>
    <n v="3"/>
    <n v="2.67"/>
  </r>
  <r>
    <m/>
    <x v="1"/>
    <x v="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C5B194-4437-4326-8BCC-949D3198ADE6}"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rowHeaderCaption="Category">
  <location ref="J5:K8" firstHeaderRow="1" firstDataRow="1" firstDataCol="1"/>
  <pivotFields count="9">
    <pivotField compact="0" outline="0" showAll="0"/>
    <pivotField compact="0" outline="0" showAll="0"/>
    <pivotField dataField="1" compact="0" outline="0" showAll="0" countASubtotal="1">
      <items count="42">
        <item x="23"/>
        <item x="9"/>
        <item x="33"/>
        <item x="28"/>
        <item x="26"/>
        <item x="25"/>
        <item x="32"/>
        <item x="11"/>
        <item x="13"/>
        <item x="15"/>
        <item x="31"/>
        <item x="38"/>
        <item x="7"/>
        <item x="16"/>
        <item x="5"/>
        <item x="19"/>
        <item x="6"/>
        <item x="2"/>
        <item x="14"/>
        <item x="27"/>
        <item x="12"/>
        <item x="3"/>
        <item x="36"/>
        <item x="21"/>
        <item x="20"/>
        <item x="4"/>
        <item x="1"/>
        <item x="18"/>
        <item x="29"/>
        <item x="0"/>
        <item x="34"/>
        <item x="35"/>
        <item x="39"/>
        <item x="30"/>
        <item x="17"/>
        <item x="24"/>
        <item x="10"/>
        <item x="37"/>
        <item x="8"/>
        <item x="22"/>
        <item x="40"/>
        <item t="countA"/>
      </items>
    </pivotField>
    <pivotField compact="0" outline="0" showAll="0"/>
    <pivotField compact="0" outline="0" showAll="0"/>
    <pivotField compact="0" outline="0" showAll="0"/>
    <pivotField axis="axisRow" compact="0" outline="0" showAll="0">
      <items count="5">
        <item x="0"/>
        <item x="1"/>
        <item x="2"/>
        <item h="1" x="3"/>
        <item t="default"/>
      </items>
    </pivotField>
    <pivotField compact="0" outline="0" showAll="0"/>
    <pivotField compact="0" outline="0" showAll="0"/>
  </pivotFields>
  <rowFields count="1">
    <field x="6"/>
  </rowFields>
  <rowItems count="3">
    <i>
      <x/>
    </i>
    <i>
      <x v="1"/>
    </i>
    <i>
      <x v="2"/>
    </i>
  </rowItems>
  <colItems count="1">
    <i/>
  </colItems>
  <dataFields count="1">
    <dataField name="No. of Items" fld="2" subtotal="count" baseField="6" baseItem="0"/>
  </dataField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0"/>
          </reference>
        </references>
      </pivotArea>
    </chartFormat>
    <chartFormat chart="5" format="2">
      <pivotArea type="data" outline="0" fieldPosition="0">
        <references count="2">
          <reference field="4294967294" count="1" selected="0">
            <x v="0"/>
          </reference>
          <reference field="6" count="1" selected="0">
            <x v="1"/>
          </reference>
        </references>
      </pivotArea>
    </chartFormat>
    <chartFormat chart="5"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1CF091-45C5-4754-964A-57CD4C343C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rowHeaderCaption="Category">
  <location ref="A3:B15" firstHeaderRow="1" firstDataRow="1" firstDataCol="1"/>
  <pivotFields count="14">
    <pivotField showAll="0"/>
    <pivotField showAll="0"/>
    <pivotField axis="axisRow" showAll="0" sortType="descending">
      <items count="13">
        <item h="1" x="11"/>
        <item x="9"/>
        <item x="2"/>
        <item x="1"/>
        <item x="7"/>
        <item x="8"/>
        <item x="0"/>
        <item x="10"/>
        <item x="6"/>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30">
        <item x="0"/>
        <item x="13"/>
        <item x="9"/>
        <item x="4"/>
        <item x="1"/>
        <item x="10"/>
        <item x="14"/>
        <item x="17"/>
        <item x="15"/>
        <item x="2"/>
        <item x="7"/>
        <item x="16"/>
        <item x="5"/>
        <item x="20"/>
        <item x="3"/>
        <item x="23"/>
        <item x="8"/>
        <item x="22"/>
        <item x="26"/>
        <item x="18"/>
        <item x="6"/>
        <item x="25"/>
        <item x="11"/>
        <item x="21"/>
        <item x="19"/>
        <item x="27"/>
        <item x="24"/>
        <item x="12"/>
        <item x="28"/>
        <item t="default"/>
      </items>
    </pivotField>
    <pivotField showAll="0">
      <items count="4">
        <item x="0"/>
        <item x="1"/>
        <item x="2"/>
        <item t="default"/>
      </items>
    </pivotField>
    <pivotField showAll="0"/>
    <pivotField showAll="0"/>
    <pivotField showAll="0"/>
    <pivotField showAll="0"/>
  </pivotFields>
  <rowFields count="1">
    <field x="2"/>
  </rowFields>
  <rowItems count="12">
    <i>
      <x v="6"/>
    </i>
    <i>
      <x v="5"/>
    </i>
    <i>
      <x v="3"/>
    </i>
    <i>
      <x v="9"/>
    </i>
    <i>
      <x v="10"/>
    </i>
    <i>
      <x v="2"/>
    </i>
    <i>
      <x v="8"/>
    </i>
    <i>
      <x v="11"/>
    </i>
    <i>
      <x v="7"/>
    </i>
    <i>
      <x v="1"/>
    </i>
    <i>
      <x v="4"/>
    </i>
    <i t="grand">
      <x/>
    </i>
  </rowItems>
  <colItems count="1">
    <i/>
  </colItems>
  <dataFields count="1">
    <dataField name="Total Stock Available" fld="6" baseField="2" baseItem="0"/>
  </dataFields>
  <chartFormats count="3">
    <chartFormat chart="45" format="0"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0"/>
          </reference>
        </references>
      </pivotArea>
    </chartFormat>
    <chartFormat chart="7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2F4CDF-01CD-4630-B7E4-3622FCA989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Supplier">
  <location ref="A3:B14" firstHeaderRow="1" firstDataRow="1" firstDataCol="1"/>
  <pivotFields count="14">
    <pivotField showAll="0"/>
    <pivotField showAll="0"/>
    <pivotField showAll="0">
      <items count="13">
        <item x="4"/>
        <item x="5"/>
        <item x="3"/>
        <item x="6"/>
        <item x="10"/>
        <item x="0"/>
        <item x="8"/>
        <item x="7"/>
        <item x="1"/>
        <item x="2"/>
        <item x="9"/>
        <item h="1" x="11"/>
        <item t="default"/>
      </items>
    </pivotField>
    <pivotField showAll="0"/>
    <pivotField dataField="1" showAll="0"/>
    <pivotField showAll="0"/>
    <pivotField showAll="0"/>
    <pivotField showAll="0"/>
    <pivotField axis="axisRow" showAll="0" measureFilter="1" sortType="descending">
      <items count="30">
        <item x="28"/>
        <item x="12"/>
        <item x="24"/>
        <item x="27"/>
        <item x="19"/>
        <item x="21"/>
        <item x="11"/>
        <item x="25"/>
        <item x="6"/>
        <item x="18"/>
        <item x="26"/>
        <item x="22"/>
        <item x="8"/>
        <item x="23"/>
        <item x="3"/>
        <item x="20"/>
        <item x="5"/>
        <item x="16"/>
        <item x="7"/>
        <item x="2"/>
        <item x="15"/>
        <item x="17"/>
        <item x="14"/>
        <item x="10"/>
        <item x="1"/>
        <item x="4"/>
        <item x="9"/>
        <item x="13"/>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s>
  <rowFields count="1">
    <field x="8"/>
  </rowFields>
  <rowItems count="11">
    <i>
      <x v="28"/>
    </i>
    <i>
      <x v="8"/>
    </i>
    <i>
      <x v="13"/>
    </i>
    <i>
      <x v="9"/>
    </i>
    <i>
      <x v="2"/>
    </i>
    <i>
      <x v="19"/>
    </i>
    <i>
      <x v="14"/>
    </i>
    <i>
      <x v="20"/>
    </i>
    <i>
      <x v="25"/>
    </i>
    <i>
      <x v="17"/>
    </i>
    <i t="grand">
      <x/>
    </i>
  </rowItems>
  <colItems count="1">
    <i/>
  </colItems>
  <dataFields count="1">
    <dataField name="Total Stock Received" fld="4" baseField="8" baseItem="0"/>
  </dataFields>
  <chartFormats count="2">
    <chartFormat chart="10" format="1"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BA01EE-6A65-459F-9374-BF0E39E7DA3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3">
  <location ref="A3:B13" firstHeaderRow="1" firstDataRow="1" firstDataCol="1"/>
  <pivotFields count="14">
    <pivotField compact="0" outline="0" showAll="0"/>
    <pivotField axis="axisRow" compact="0" outline="0" showAll="0" measureFilter="1" sortType="descending">
      <items count="43">
        <item x="34"/>
        <item x="31"/>
        <item x="2"/>
        <item x="4"/>
        <item x="28"/>
        <item x="27"/>
        <item x="36"/>
        <item x="19"/>
        <item x="7"/>
        <item x="17"/>
        <item x="13"/>
        <item x="11"/>
        <item x="21"/>
        <item x="22"/>
        <item x="5"/>
        <item x="26"/>
        <item x="18"/>
        <item x="8"/>
        <item x="15"/>
        <item x="39"/>
        <item x="35"/>
        <item m="1" x="41"/>
        <item x="12"/>
        <item x="14"/>
        <item x="3"/>
        <item x="16"/>
        <item x="30"/>
        <item x="32"/>
        <item x="38"/>
        <item x="29"/>
        <item x="0"/>
        <item x="10"/>
        <item x="1"/>
        <item x="6"/>
        <item x="24"/>
        <item x="33"/>
        <item x="37"/>
        <item x="9"/>
        <item x="23"/>
        <item x="25"/>
        <item x="40"/>
        <item x="20"/>
        <item t="default"/>
      </items>
      <autoSortScope>
        <pivotArea dataOnly="0" outline="0" fieldPosition="0">
          <references count="1">
            <reference field="4294967294" count="1" selected="0">
              <x v="0"/>
            </reference>
          </references>
        </pivotArea>
      </autoSortScope>
    </pivotField>
    <pivotField compact="0" outline="0" showAll="0">
      <items count="13">
        <item x="4"/>
        <item x="5"/>
        <item x="3"/>
        <item x="6"/>
        <item x="10"/>
        <item x="0"/>
        <item x="8"/>
        <item x="7"/>
        <item x="1"/>
        <item x="2"/>
        <item x="9"/>
        <item h="1"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dataField="1" compact="0" outline="0" showAll="0"/>
    <pivotField compact="0" outline="0" showAll="0"/>
    <pivotField compact="0" outline="0" showAll="0"/>
    <pivotField compact="0" outline="0" showAll="0"/>
  </pivotFields>
  <rowFields count="1">
    <field x="1"/>
  </rowFields>
  <rowItems count="10">
    <i>
      <x v="3"/>
    </i>
    <i>
      <x v="24"/>
    </i>
    <i>
      <x v="29"/>
    </i>
    <i>
      <x v="36"/>
    </i>
    <i>
      <x v="14"/>
    </i>
    <i>
      <x v="26"/>
    </i>
    <i>
      <x v="17"/>
    </i>
    <i>
      <x v="8"/>
    </i>
    <i>
      <x v="41"/>
    </i>
    <i>
      <x v="20"/>
    </i>
  </rowItems>
  <colItems count="1">
    <i/>
  </colItems>
  <dataFields count="1">
    <dataField name="Avg Turnover" fld="10" subtotal="average" baseField="1" baseItem="3"/>
  </dataFields>
  <chartFormats count="4">
    <chartFormat chart="19"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38304F-D321-4C17-8B97-5B696FED7FD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H11" firstHeaderRow="1" firstDataRow="2" firstDataCol="1"/>
  <pivotFields count="5">
    <pivotField showAll="0"/>
    <pivotField axis="axisCol" showAll="0">
      <items count="14">
        <item h="1" x="6"/>
        <item h="1" x="9"/>
        <item h="1" x="10"/>
        <item h="1" x="12"/>
        <item h="1" x="8"/>
        <item x="4"/>
        <item x="3"/>
        <item x="7"/>
        <item x="5"/>
        <item x="2"/>
        <item x="0"/>
        <item h="1" x="11"/>
        <item h="1" x="1"/>
        <item t="default"/>
      </items>
    </pivotField>
    <pivotField axis="axisRow" showAll="0">
      <items count="8">
        <item x="0"/>
        <item x="1"/>
        <item x="2"/>
        <item x="3"/>
        <item x="4"/>
        <item x="5"/>
        <item h="1" x="6"/>
        <item t="default"/>
      </items>
    </pivotField>
    <pivotField dataField="1" showAll="0"/>
    <pivotField showAll="0"/>
  </pivotFields>
  <rowFields count="1">
    <field x="2"/>
  </rowFields>
  <rowItems count="7">
    <i>
      <x/>
    </i>
    <i>
      <x v="1"/>
    </i>
    <i>
      <x v="2"/>
    </i>
    <i>
      <x v="3"/>
    </i>
    <i>
      <x v="4"/>
    </i>
    <i>
      <x v="5"/>
    </i>
    <i t="grand">
      <x/>
    </i>
  </rowItems>
  <colFields count="1">
    <field x="1"/>
  </colFields>
  <colItems count="7">
    <i>
      <x v="5"/>
    </i>
    <i>
      <x v="6"/>
    </i>
    <i>
      <x v="7"/>
    </i>
    <i>
      <x v="8"/>
    </i>
    <i>
      <x v="9"/>
    </i>
    <i>
      <x v="10"/>
    </i>
    <i t="grand">
      <x/>
    </i>
  </colItems>
  <dataFields count="1">
    <dataField name="Sum of Demand" fld="3" baseField="0" baseItem="0"/>
  </dataFields>
  <chartFormats count="13">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6" format="3" series="1">
      <pivotArea type="data" outline="0" fieldPosition="0">
        <references count="2">
          <reference field="4294967294" count="1" selected="0">
            <x v="0"/>
          </reference>
          <reference field="1" count="1" selected="0">
            <x v="3"/>
          </reference>
        </references>
      </pivotArea>
    </chartFormat>
    <chartFormat chart="6" format="4" series="1">
      <pivotArea type="data" outline="0" fieldPosition="0">
        <references count="2">
          <reference field="4294967294" count="1" selected="0">
            <x v="0"/>
          </reference>
          <reference field="1" count="1" selected="0">
            <x v="4"/>
          </reference>
        </references>
      </pivotArea>
    </chartFormat>
    <chartFormat chart="6" format="5" series="1">
      <pivotArea type="data" outline="0" fieldPosition="0">
        <references count="2">
          <reference field="4294967294" count="1" selected="0">
            <x v="0"/>
          </reference>
          <reference field="1" count="1" selected="0">
            <x v="5"/>
          </reference>
        </references>
      </pivotArea>
    </chartFormat>
    <chartFormat chart="6" format="6" series="1">
      <pivotArea type="data" outline="0" fieldPosition="0">
        <references count="2">
          <reference field="4294967294" count="1" selected="0">
            <x v="0"/>
          </reference>
          <reference field="1" count="1" selected="0">
            <x v="6"/>
          </reference>
        </references>
      </pivotArea>
    </chartFormat>
    <chartFormat chart="6" format="7" series="1">
      <pivotArea type="data" outline="0" fieldPosition="0">
        <references count="2">
          <reference field="4294967294" count="1" selected="0">
            <x v="0"/>
          </reference>
          <reference field="1" count="1" selected="0">
            <x v="7"/>
          </reference>
        </references>
      </pivotArea>
    </chartFormat>
    <chartFormat chart="6" format="8" series="1">
      <pivotArea type="data" outline="0" fieldPosition="0">
        <references count="2">
          <reference field="4294967294" count="1" selected="0">
            <x v="0"/>
          </reference>
          <reference field="1" count="1" selected="0">
            <x v="8"/>
          </reference>
        </references>
      </pivotArea>
    </chartFormat>
    <chartFormat chart="6" format="9" series="1">
      <pivotArea type="data" outline="0" fieldPosition="0">
        <references count="2">
          <reference field="4294967294" count="1" selected="0">
            <x v="0"/>
          </reference>
          <reference field="1" count="1" selected="0">
            <x v="9"/>
          </reference>
        </references>
      </pivotArea>
    </chartFormat>
    <chartFormat chart="6" format="10" series="1">
      <pivotArea type="data" outline="0" fieldPosition="0">
        <references count="2">
          <reference field="4294967294" count="1" selected="0">
            <x v="0"/>
          </reference>
          <reference field="1" count="1" selected="0">
            <x v="10"/>
          </reference>
        </references>
      </pivotArea>
    </chartFormat>
    <chartFormat chart="6" format="11" series="1">
      <pivotArea type="data" outline="0" fieldPosition="0">
        <references count="2">
          <reference field="4294967294" count="1" selected="0">
            <x v="0"/>
          </reference>
          <reference field="1" count="1" selected="0">
            <x v="11"/>
          </reference>
        </references>
      </pivotArea>
    </chartFormat>
    <chartFormat chart="6" format="12" series="1">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F7A00A-BE9C-4252-A909-BD5D0491EE77}" sourceName="Category">
  <pivotTables>
    <pivotTable tabId="7" name="PivotTable1"/>
    <pivotTable tabId="9" name="PivotTable2"/>
    <pivotTable tabId="10" name="PivotTable3"/>
  </pivotTables>
  <data>
    <tabular pivotCacheId="1682543703">
      <items count="12">
        <i x="4" s="1"/>
        <i x="5" s="1"/>
        <i x="3" s="1"/>
        <i x="6" s="1"/>
        <i x="10" s="1"/>
        <i x="0" s="1"/>
        <i x="8" s="1"/>
        <i x="7" s="1"/>
        <i x="1" s="1"/>
        <i x="2" s="1"/>
        <i x="9" s="1"/>
        <i x="1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852EA6ED-C3B0-4AA3-93B1-BD5FF53ED97F}" sourceName="Supplier">
  <pivotTables>
    <pivotTable tabId="7" name="PivotTable1"/>
  </pivotTables>
  <data>
    <tabular pivotCacheId="1682543703">
      <items count="29">
        <i x="0" s="1"/>
        <i x="13" s="1"/>
        <i x="9" s="1"/>
        <i x="4" s="1"/>
        <i x="1" s="1"/>
        <i x="10" s="1"/>
        <i x="14" s="1"/>
        <i x="17" s="1"/>
        <i x="15" s="1"/>
        <i x="2" s="1"/>
        <i x="7" s="1"/>
        <i x="16" s="1"/>
        <i x="5" s="1"/>
        <i x="20" s="1"/>
        <i x="3" s="1"/>
        <i x="23" s="1"/>
        <i x="8" s="1"/>
        <i x="22" s="1"/>
        <i x="26" s="1"/>
        <i x="18" s="1"/>
        <i x="6" s="1"/>
        <i x="25" s="1"/>
        <i x="11" s="1"/>
        <i x="21" s="1"/>
        <i x="19" s="1"/>
        <i x="27" s="1"/>
        <i x="24" s="1"/>
        <i x="12" s="1"/>
        <i x="2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6D124F62-8A46-41ED-9E24-FBBCE1214DF8}" sourceName="Stock Status">
  <pivotTables>
    <pivotTable tabId="7" name="PivotTable1"/>
    <pivotTable tabId="10" name="PivotTable3"/>
    <pivotTable tabId="9" name="PivotTable2"/>
  </pivotTables>
  <data>
    <tabular pivotCacheId="1682543703">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4FB51A8-DA1D-4EA1-A48A-5C33913A8890}" cache="Slicer_Category" caption="Category" rowHeight="234950"/>
  <slicer name="Supplier" xr10:uid="{6BC86DF3-C402-4D37-8ED5-ABA16E8DA74B}" cache="Slicer_Supplier" caption="Supplier" rowHeight="234950"/>
  <slicer name="Stock Status" xr10:uid="{9F72896F-5170-42A0-B17F-4A587770D0DE}" cache="Slicer_Stock_Status" caption="Stock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9915-E87F-43F8-A3E3-A14B4562BC7D}">
  <dimension ref="A1:R71"/>
  <sheetViews>
    <sheetView showGridLines="0" tabSelected="1" workbookViewId="0">
      <selection activeCell="Q50" sqref="Q50"/>
    </sheetView>
  </sheetViews>
  <sheetFormatPr defaultRowHeight="14.4" x14ac:dyDescent="0.3"/>
  <sheetData>
    <row r="1" spans="1:18" ht="23.4" x14ac:dyDescent="0.45">
      <c r="A1" s="24" t="s">
        <v>237</v>
      </c>
      <c r="B1" s="25"/>
      <c r="C1" s="25"/>
      <c r="D1" s="25"/>
      <c r="E1" s="25"/>
      <c r="F1" s="25"/>
      <c r="G1" s="25"/>
      <c r="H1" s="25"/>
      <c r="I1" s="25"/>
      <c r="J1" s="25"/>
      <c r="K1" s="25"/>
      <c r="L1" s="25"/>
      <c r="M1" s="25"/>
      <c r="N1" s="25"/>
      <c r="O1" s="25"/>
      <c r="P1" s="25"/>
      <c r="Q1" s="25"/>
      <c r="R1" s="25"/>
    </row>
    <row r="4" spans="1:18" x14ac:dyDescent="0.3">
      <c r="A4" s="21" t="s">
        <v>261</v>
      </c>
      <c r="B4" s="20"/>
      <c r="C4" s="20"/>
      <c r="D4" s="20"/>
      <c r="E4" s="20"/>
      <c r="F4" s="20"/>
      <c r="G4" s="20"/>
    </row>
    <row r="6" spans="1:18" x14ac:dyDescent="0.3">
      <c r="A6" s="20" t="s">
        <v>238</v>
      </c>
      <c r="B6" s="20"/>
      <c r="C6" s="20"/>
      <c r="D6" s="20"/>
    </row>
    <row r="7" spans="1:18" x14ac:dyDescent="0.3">
      <c r="A7" s="20" t="s">
        <v>239</v>
      </c>
      <c r="B7" s="20"/>
      <c r="C7" s="20"/>
      <c r="D7" s="20"/>
      <c r="E7" s="20"/>
      <c r="F7" s="20"/>
      <c r="G7" s="20"/>
      <c r="H7" s="20"/>
      <c r="I7" s="20"/>
    </row>
    <row r="9" spans="1:18" x14ac:dyDescent="0.3">
      <c r="A9" s="20" t="s">
        <v>240</v>
      </c>
      <c r="B9" s="20"/>
      <c r="C9" s="20"/>
      <c r="D9" s="20"/>
    </row>
    <row r="10" spans="1:18" x14ac:dyDescent="0.3">
      <c r="A10" s="20" t="s">
        <v>241</v>
      </c>
      <c r="B10" s="20"/>
      <c r="C10" s="20"/>
      <c r="D10" s="20"/>
      <c r="E10" s="20"/>
      <c r="F10" s="20"/>
      <c r="G10" s="20"/>
      <c r="H10" s="20"/>
    </row>
    <row r="12" spans="1:18" x14ac:dyDescent="0.3">
      <c r="A12" s="20" t="s">
        <v>242</v>
      </c>
      <c r="B12" s="20"/>
      <c r="C12" s="20"/>
      <c r="D12" s="20"/>
    </row>
    <row r="13" spans="1:18" x14ac:dyDescent="0.3">
      <c r="A13" s="20" t="s">
        <v>243</v>
      </c>
      <c r="B13" s="20"/>
      <c r="C13" s="20"/>
      <c r="D13" s="20"/>
      <c r="E13" s="20"/>
      <c r="F13" s="20"/>
      <c r="G13" s="20"/>
    </row>
    <row r="15" spans="1:18" x14ac:dyDescent="0.3">
      <c r="A15" s="20" t="s">
        <v>244</v>
      </c>
      <c r="B15" s="20"/>
      <c r="C15" s="20"/>
      <c r="D15" s="20"/>
    </row>
    <row r="16" spans="1:18" x14ac:dyDescent="0.3">
      <c r="A16" s="20" t="s">
        <v>245</v>
      </c>
      <c r="B16" s="20"/>
      <c r="C16" s="20"/>
      <c r="D16" s="20"/>
      <c r="E16" s="20"/>
      <c r="F16" s="20"/>
    </row>
    <row r="19" spans="1:10" x14ac:dyDescent="0.3">
      <c r="A19" s="21" t="s">
        <v>262</v>
      </c>
      <c r="B19" s="21"/>
      <c r="C19" s="21"/>
      <c r="D19" s="21"/>
      <c r="E19" s="21"/>
      <c r="F19" s="21"/>
    </row>
    <row r="21" spans="1:10" x14ac:dyDescent="0.3">
      <c r="A21" s="20" t="s">
        <v>247</v>
      </c>
      <c r="B21" s="20"/>
      <c r="C21" s="20"/>
      <c r="D21" s="20"/>
      <c r="E21" s="20"/>
      <c r="F21" s="20"/>
      <c r="G21" s="20"/>
      <c r="H21" s="20"/>
      <c r="I21" s="20"/>
      <c r="J21" s="20"/>
    </row>
    <row r="22" spans="1:10" x14ac:dyDescent="0.3">
      <c r="A22" s="20" t="s">
        <v>246</v>
      </c>
      <c r="B22" s="20"/>
      <c r="C22" s="20"/>
      <c r="D22" s="20"/>
      <c r="E22" s="20"/>
      <c r="F22" s="20"/>
      <c r="G22" s="20"/>
      <c r="H22" s="20"/>
      <c r="I22" s="20"/>
      <c r="J22" s="20"/>
    </row>
    <row r="23" spans="1:10" x14ac:dyDescent="0.3">
      <c r="A23" s="20" t="s">
        <v>248</v>
      </c>
      <c r="B23" s="20"/>
      <c r="C23" s="20"/>
      <c r="D23" s="20"/>
      <c r="E23" s="20"/>
      <c r="F23" s="20"/>
      <c r="G23" s="20"/>
      <c r="H23" s="20"/>
      <c r="I23" s="20"/>
      <c r="J23" s="20"/>
    </row>
    <row r="24" spans="1:10" x14ac:dyDescent="0.3">
      <c r="A24" s="20" t="s">
        <v>249</v>
      </c>
      <c r="B24" s="20"/>
      <c r="C24" s="20"/>
      <c r="D24" s="20"/>
      <c r="E24" s="20"/>
      <c r="F24" s="20"/>
      <c r="G24" s="20"/>
      <c r="H24" s="20"/>
      <c r="I24" s="20"/>
      <c r="J24" s="20"/>
    </row>
    <row r="25" spans="1:10" x14ac:dyDescent="0.3">
      <c r="A25" s="20" t="s">
        <v>250</v>
      </c>
      <c r="B25" s="20"/>
      <c r="C25" s="20"/>
      <c r="D25" s="20"/>
      <c r="E25" s="20"/>
      <c r="F25" s="20"/>
      <c r="G25" s="20"/>
      <c r="H25" s="20"/>
      <c r="I25" s="20"/>
      <c r="J25" s="20"/>
    </row>
    <row r="26" spans="1:10" x14ac:dyDescent="0.3">
      <c r="A26" s="20" t="s">
        <v>251</v>
      </c>
      <c r="B26" s="20"/>
      <c r="C26" s="20"/>
      <c r="D26" s="20"/>
      <c r="E26" s="20"/>
      <c r="F26" s="20"/>
      <c r="G26" s="20"/>
      <c r="H26" s="20"/>
      <c r="I26" s="20"/>
      <c r="J26" s="20"/>
    </row>
    <row r="29" spans="1:10" x14ac:dyDescent="0.3">
      <c r="A29" s="21" t="s">
        <v>263</v>
      </c>
      <c r="B29" s="20"/>
      <c r="C29" s="20"/>
      <c r="D29" s="20"/>
      <c r="E29" s="20"/>
    </row>
    <row r="31" spans="1:10" x14ac:dyDescent="0.3">
      <c r="A31" s="20" t="s">
        <v>252</v>
      </c>
      <c r="B31" s="20"/>
      <c r="C31" s="20"/>
      <c r="D31" s="20"/>
      <c r="E31" s="20"/>
    </row>
    <row r="32" spans="1:10" x14ac:dyDescent="0.3">
      <c r="A32" s="20" t="s">
        <v>253</v>
      </c>
      <c r="B32" s="20"/>
      <c r="C32" s="20"/>
      <c r="D32" s="20"/>
      <c r="E32" s="20"/>
    </row>
    <row r="33" spans="1:10" x14ac:dyDescent="0.3">
      <c r="A33" s="20" t="s">
        <v>254</v>
      </c>
      <c r="B33" s="20"/>
      <c r="C33" s="20"/>
      <c r="D33" s="20"/>
      <c r="E33" s="20"/>
    </row>
    <row r="34" spans="1:10" x14ac:dyDescent="0.3">
      <c r="A34" s="20" t="s">
        <v>255</v>
      </c>
      <c r="B34" s="20"/>
      <c r="C34" s="20"/>
      <c r="D34" s="20"/>
      <c r="E34" s="20"/>
    </row>
    <row r="35" spans="1:10" x14ac:dyDescent="0.3">
      <c r="A35" s="20" t="s">
        <v>256</v>
      </c>
      <c r="B35" s="20"/>
      <c r="C35" s="20"/>
      <c r="D35" s="20"/>
      <c r="E35" s="20"/>
    </row>
    <row r="36" spans="1:10" x14ac:dyDescent="0.3">
      <c r="A36" s="20" t="s">
        <v>257</v>
      </c>
      <c r="B36" s="20"/>
      <c r="C36" s="20"/>
      <c r="D36" s="20"/>
      <c r="E36" s="20"/>
    </row>
    <row r="37" spans="1:10" x14ac:dyDescent="0.3">
      <c r="A37" s="20" t="s">
        <v>258</v>
      </c>
      <c r="B37" s="20"/>
      <c r="C37" s="20"/>
      <c r="D37" s="20"/>
      <c r="E37" s="20"/>
    </row>
    <row r="38" spans="1:10" x14ac:dyDescent="0.3">
      <c r="A38" s="20" t="s">
        <v>259</v>
      </c>
      <c r="B38" s="20"/>
      <c r="C38" s="20"/>
      <c r="D38" s="20"/>
      <c r="E38" s="20"/>
    </row>
    <row r="39" spans="1:10" x14ac:dyDescent="0.3">
      <c r="A39" s="20" t="s">
        <v>260</v>
      </c>
      <c r="B39" s="20"/>
      <c r="C39" s="20"/>
      <c r="D39" s="20"/>
      <c r="E39" s="20"/>
    </row>
    <row r="42" spans="1:10" x14ac:dyDescent="0.3">
      <c r="A42" s="21" t="s">
        <v>264</v>
      </c>
      <c r="B42" s="21"/>
      <c r="C42" s="21"/>
      <c r="D42" s="21"/>
      <c r="E42" s="21"/>
    </row>
    <row r="44" spans="1:10" x14ac:dyDescent="0.3">
      <c r="A44" s="22" t="s">
        <v>265</v>
      </c>
      <c r="B44" s="23"/>
      <c r="C44" s="23"/>
      <c r="D44" s="23"/>
      <c r="E44" s="21" t="s">
        <v>275</v>
      </c>
      <c r="F44" s="21"/>
      <c r="G44" s="21"/>
      <c r="H44" s="21"/>
      <c r="I44" s="15"/>
      <c r="J44" s="15"/>
    </row>
    <row r="45" spans="1:10" x14ac:dyDescent="0.3">
      <c r="A45" s="20" t="s">
        <v>266</v>
      </c>
      <c r="B45" s="20"/>
      <c r="C45" s="20"/>
      <c r="D45" s="20"/>
      <c r="E45" s="20" t="s">
        <v>276</v>
      </c>
      <c r="F45" s="20"/>
      <c r="G45" s="20"/>
      <c r="H45" s="20"/>
    </row>
    <row r="46" spans="1:10" x14ac:dyDescent="0.3">
      <c r="A46" s="20" t="s">
        <v>267</v>
      </c>
      <c r="B46" s="20"/>
      <c r="C46" s="20"/>
      <c r="D46" s="20"/>
      <c r="E46" s="20" t="s">
        <v>279</v>
      </c>
      <c r="F46" s="20"/>
      <c r="G46" s="20"/>
      <c r="H46" s="20"/>
    </row>
    <row r="47" spans="1:10" x14ac:dyDescent="0.3">
      <c r="A47" s="20" t="s">
        <v>268</v>
      </c>
      <c r="B47" s="20"/>
      <c r="C47" s="20"/>
      <c r="D47" s="20"/>
      <c r="E47" s="20" t="s">
        <v>280</v>
      </c>
      <c r="F47" s="20"/>
      <c r="G47" s="20"/>
      <c r="H47" s="20"/>
    </row>
    <row r="48" spans="1:10" x14ac:dyDescent="0.3">
      <c r="A48" s="20" t="s">
        <v>269</v>
      </c>
      <c r="B48" s="20"/>
      <c r="C48" s="20"/>
      <c r="D48" s="20"/>
      <c r="E48" s="20" t="s">
        <v>281</v>
      </c>
      <c r="F48" s="20"/>
      <c r="G48" s="20"/>
      <c r="H48" s="20"/>
    </row>
    <row r="49" spans="1:16" x14ac:dyDescent="0.3">
      <c r="A49" s="20" t="s">
        <v>270</v>
      </c>
      <c r="B49" s="20"/>
      <c r="C49" s="20"/>
      <c r="D49" s="20"/>
      <c r="E49" s="20" t="s">
        <v>282</v>
      </c>
      <c r="F49" s="20"/>
      <c r="G49" s="20"/>
      <c r="H49" s="20"/>
    </row>
    <row r="50" spans="1:16" x14ac:dyDescent="0.3">
      <c r="A50" s="20" t="s">
        <v>271</v>
      </c>
      <c r="B50" s="20"/>
      <c r="C50" s="20"/>
      <c r="D50" s="20"/>
      <c r="E50" s="20" t="s">
        <v>284</v>
      </c>
      <c r="F50" s="20"/>
      <c r="G50" s="20"/>
      <c r="H50" s="20"/>
    </row>
    <row r="51" spans="1:16" x14ac:dyDescent="0.3">
      <c r="A51" s="20" t="s">
        <v>272</v>
      </c>
      <c r="B51" s="20"/>
      <c r="C51" s="20"/>
      <c r="D51" s="20"/>
      <c r="E51" s="20" t="s">
        <v>283</v>
      </c>
      <c r="F51" s="20"/>
      <c r="G51" s="20"/>
      <c r="H51" s="20"/>
    </row>
    <row r="52" spans="1:16" x14ac:dyDescent="0.3">
      <c r="A52" s="20" t="s">
        <v>273</v>
      </c>
      <c r="B52" s="20"/>
      <c r="C52" s="20"/>
      <c r="D52" s="20"/>
      <c r="E52" s="20" t="s">
        <v>277</v>
      </c>
      <c r="F52" s="20"/>
      <c r="G52" s="20"/>
      <c r="H52" s="20"/>
    </row>
    <row r="53" spans="1:16" x14ac:dyDescent="0.3">
      <c r="A53" s="20" t="s">
        <v>274</v>
      </c>
      <c r="B53" s="20"/>
      <c r="C53" s="20"/>
      <c r="D53" s="20"/>
      <c r="E53" s="20" t="s">
        <v>278</v>
      </c>
      <c r="F53" s="20"/>
      <c r="G53" s="20"/>
      <c r="H53" s="20"/>
    </row>
    <row r="56" spans="1:16" x14ac:dyDescent="0.3">
      <c r="A56" s="21" t="s">
        <v>285</v>
      </c>
      <c r="B56" s="20"/>
      <c r="C56" s="20"/>
      <c r="D56" s="20"/>
      <c r="E56" s="20"/>
    </row>
    <row r="58" spans="1:16" x14ac:dyDescent="0.3">
      <c r="A58" s="20" t="s">
        <v>286</v>
      </c>
      <c r="B58" s="20"/>
      <c r="C58" s="20"/>
      <c r="D58" s="20"/>
      <c r="E58" s="20"/>
      <c r="F58" s="20"/>
      <c r="G58" s="20"/>
      <c r="H58" s="20"/>
      <c r="I58" s="20"/>
      <c r="J58" s="20"/>
      <c r="K58" s="20"/>
      <c r="L58" s="20"/>
      <c r="M58" s="20"/>
      <c r="N58" s="20"/>
      <c r="O58" s="20"/>
      <c r="P58" s="20"/>
    </row>
    <row r="59" spans="1:16" x14ac:dyDescent="0.3">
      <c r="A59" s="20" t="s">
        <v>287</v>
      </c>
      <c r="B59" s="20"/>
      <c r="C59" s="20"/>
      <c r="D59" s="20"/>
      <c r="E59" s="20"/>
      <c r="F59" s="20"/>
      <c r="G59" s="20"/>
      <c r="H59" s="20"/>
      <c r="I59" s="20"/>
      <c r="J59" s="20"/>
      <c r="K59" s="20"/>
      <c r="L59" s="20"/>
      <c r="M59" s="20"/>
      <c r="N59" s="20"/>
    </row>
    <row r="62" spans="1:16" x14ac:dyDescent="0.3">
      <c r="A62" s="21" t="s">
        <v>288</v>
      </c>
      <c r="B62" s="20"/>
      <c r="C62" s="20"/>
      <c r="D62" s="20"/>
      <c r="E62" s="20"/>
    </row>
    <row r="64" spans="1:16" x14ac:dyDescent="0.3">
      <c r="A64" s="20" t="s">
        <v>289</v>
      </c>
      <c r="B64" s="20"/>
      <c r="C64" s="20"/>
      <c r="D64" s="20"/>
    </row>
    <row r="65" spans="1:4" x14ac:dyDescent="0.3">
      <c r="A65" s="20" t="s">
        <v>290</v>
      </c>
      <c r="B65" s="20"/>
      <c r="C65" s="20"/>
      <c r="D65" s="20"/>
    </row>
    <row r="66" spans="1:4" x14ac:dyDescent="0.3">
      <c r="A66" s="20" t="s">
        <v>291</v>
      </c>
      <c r="B66" s="20"/>
      <c r="C66" s="20"/>
      <c r="D66" s="20"/>
    </row>
    <row r="67" spans="1:4" x14ac:dyDescent="0.3">
      <c r="A67" s="20" t="s">
        <v>292</v>
      </c>
      <c r="B67" s="20"/>
      <c r="C67" s="20"/>
      <c r="D67" s="20"/>
    </row>
    <row r="68" spans="1:4" x14ac:dyDescent="0.3">
      <c r="A68" s="20" t="s">
        <v>293</v>
      </c>
      <c r="B68" s="20"/>
      <c r="C68" s="20"/>
      <c r="D68" s="20"/>
    </row>
    <row r="69" spans="1:4" x14ac:dyDescent="0.3">
      <c r="A69" s="20" t="s">
        <v>294</v>
      </c>
      <c r="B69" s="20"/>
      <c r="C69" s="20"/>
      <c r="D69" s="20"/>
    </row>
    <row r="70" spans="1:4" x14ac:dyDescent="0.3">
      <c r="A70" s="20" t="s">
        <v>295</v>
      </c>
      <c r="B70" s="20"/>
      <c r="C70" s="20"/>
      <c r="D70" s="20"/>
    </row>
    <row r="71" spans="1:4" x14ac:dyDescent="0.3">
      <c r="A71" s="20" t="s">
        <v>296</v>
      </c>
      <c r="B71" s="20"/>
      <c r="C71" s="20"/>
      <c r="D71" s="20"/>
    </row>
  </sheetData>
  <mergeCells count="60">
    <mergeCell ref="A1:R1"/>
    <mergeCell ref="A4:G4"/>
    <mergeCell ref="A6:D6"/>
    <mergeCell ref="A7:I7"/>
    <mergeCell ref="A9:D9"/>
    <mergeCell ref="A10:H10"/>
    <mergeCell ref="A21:J21"/>
    <mergeCell ref="A22:J22"/>
    <mergeCell ref="A23:J23"/>
    <mergeCell ref="A24:J24"/>
    <mergeCell ref="A19:F19"/>
    <mergeCell ref="A12:D12"/>
    <mergeCell ref="A13:G13"/>
    <mergeCell ref="A15:D15"/>
    <mergeCell ref="A16:F16"/>
    <mergeCell ref="A25:J25"/>
    <mergeCell ref="A26:J26"/>
    <mergeCell ref="A29:E29"/>
    <mergeCell ref="A31:E31"/>
    <mergeCell ref="A32:E32"/>
    <mergeCell ref="A38:E38"/>
    <mergeCell ref="A39:E39"/>
    <mergeCell ref="A44:D44"/>
    <mergeCell ref="A45:D45"/>
    <mergeCell ref="A33:E33"/>
    <mergeCell ref="A34:E34"/>
    <mergeCell ref="A35:E35"/>
    <mergeCell ref="A36:E36"/>
    <mergeCell ref="A37:E37"/>
    <mergeCell ref="A42:E42"/>
    <mergeCell ref="A59:N59"/>
    <mergeCell ref="A58:P58"/>
    <mergeCell ref="A51:D51"/>
    <mergeCell ref="A52:D52"/>
    <mergeCell ref="A53:D53"/>
    <mergeCell ref="A46:D46"/>
    <mergeCell ref="A47:D47"/>
    <mergeCell ref="A48:D48"/>
    <mergeCell ref="A49:D49"/>
    <mergeCell ref="A50:D50"/>
    <mergeCell ref="E44:H44"/>
    <mergeCell ref="E48:H48"/>
    <mergeCell ref="E49:H49"/>
    <mergeCell ref="E50:H50"/>
    <mergeCell ref="E51:H51"/>
    <mergeCell ref="A68:D68"/>
    <mergeCell ref="A69:D69"/>
    <mergeCell ref="A70:D70"/>
    <mergeCell ref="A71:D71"/>
    <mergeCell ref="E45:H45"/>
    <mergeCell ref="E46:H46"/>
    <mergeCell ref="E47:H47"/>
    <mergeCell ref="E52:H52"/>
    <mergeCell ref="E53:H53"/>
    <mergeCell ref="A62:E62"/>
    <mergeCell ref="A64:D64"/>
    <mergeCell ref="A65:D65"/>
    <mergeCell ref="A66:D66"/>
    <mergeCell ref="A67:D67"/>
    <mergeCell ref="A56:E5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520EE-EE51-40CE-A045-072124109E45}">
  <dimension ref="B1:AB45"/>
  <sheetViews>
    <sheetView showGridLines="0" zoomScale="70" zoomScaleNormal="70" workbookViewId="0">
      <selection activeCell="I1" sqref="I1:AB1"/>
    </sheetView>
  </sheetViews>
  <sheetFormatPr defaultRowHeight="14.4" x14ac:dyDescent="0.3"/>
  <sheetData>
    <row r="1" spans="2:28" ht="25.8" x14ac:dyDescent="0.5">
      <c r="F1" s="4"/>
      <c r="G1" s="5"/>
      <c r="H1" s="5"/>
      <c r="I1" s="26" t="s">
        <v>170</v>
      </c>
      <c r="J1" s="27"/>
      <c r="K1" s="27"/>
      <c r="L1" s="27"/>
      <c r="M1" s="27"/>
      <c r="N1" s="27"/>
      <c r="O1" s="27"/>
      <c r="P1" s="27"/>
      <c r="Q1" s="27"/>
      <c r="R1" s="27"/>
      <c r="S1" s="27"/>
      <c r="T1" s="27"/>
      <c r="U1" s="27"/>
      <c r="V1" s="27"/>
      <c r="W1" s="27"/>
      <c r="X1" s="27"/>
      <c r="Y1" s="27"/>
      <c r="Z1" s="27"/>
      <c r="AA1" s="27"/>
      <c r="AB1" s="27"/>
    </row>
    <row r="3" spans="2:28" ht="15.6" x14ac:dyDescent="0.3">
      <c r="D3" s="6"/>
      <c r="F3" s="6"/>
    </row>
    <row r="5" spans="2:28" ht="21" x14ac:dyDescent="0.4">
      <c r="B5" s="7">
        <f>'Raw Data'!B47</f>
        <v>1925</v>
      </c>
      <c r="C5" s="8"/>
      <c r="D5" s="7">
        <f>'Raw Data'!B48</f>
        <v>40</v>
      </c>
      <c r="E5" s="8"/>
      <c r="F5" s="7">
        <f>'Raw Data'!B49</f>
        <v>4</v>
      </c>
      <c r="G5" s="8"/>
    </row>
    <row r="6" spans="2:28" x14ac:dyDescent="0.3">
      <c r="B6" s="10" t="s">
        <v>172</v>
      </c>
      <c r="C6" s="9"/>
      <c r="D6" s="10" t="s">
        <v>173</v>
      </c>
      <c r="E6" s="9"/>
      <c r="F6" s="10" t="s">
        <v>174</v>
      </c>
      <c r="G6" s="9"/>
    </row>
    <row r="37" spans="10:11" x14ac:dyDescent="0.3">
      <c r="J37" s="28" t="s">
        <v>229</v>
      </c>
      <c r="K37" s="28"/>
    </row>
    <row r="39" spans="10:11" x14ac:dyDescent="0.3">
      <c r="J39" t="s">
        <v>230</v>
      </c>
    </row>
    <row r="41" spans="10:11" x14ac:dyDescent="0.3">
      <c r="J41" t="s">
        <v>231</v>
      </c>
    </row>
    <row r="43" spans="10:11" x14ac:dyDescent="0.3">
      <c r="J43" t="s">
        <v>232</v>
      </c>
    </row>
    <row r="45" spans="10:11" x14ac:dyDescent="0.3">
      <c r="J45" t="s">
        <v>233</v>
      </c>
    </row>
  </sheetData>
  <mergeCells count="2">
    <mergeCell ref="I1:AB1"/>
    <mergeCell ref="J37:K3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91EC-AE89-4D26-A1A7-C27735778387}">
  <dimension ref="B1:L35"/>
  <sheetViews>
    <sheetView showGridLines="0" workbookViewId="0">
      <selection activeCell="B1" sqref="B1:L1"/>
    </sheetView>
  </sheetViews>
  <sheetFormatPr defaultRowHeight="14.4" x14ac:dyDescent="0.3"/>
  <cols>
    <col min="1" max="1" width="12.5546875" bestFit="1" customWidth="1"/>
    <col min="2" max="2" width="18.33203125" bestFit="1" customWidth="1"/>
    <col min="3" max="3" width="14.6640625" bestFit="1" customWidth="1"/>
    <col min="4" max="4" width="11.33203125" bestFit="1" customWidth="1"/>
  </cols>
  <sheetData>
    <row r="1" spans="2:12" ht="18" x14ac:dyDescent="0.35">
      <c r="B1" s="29" t="s">
        <v>298</v>
      </c>
      <c r="C1" s="29"/>
      <c r="D1" s="29"/>
      <c r="E1" s="29"/>
      <c r="F1" s="29"/>
      <c r="G1" s="29"/>
      <c r="H1" s="29"/>
      <c r="I1" s="29"/>
      <c r="J1" s="29"/>
      <c r="K1" s="29"/>
      <c r="L1" s="29"/>
    </row>
    <row r="5" spans="2:12" x14ac:dyDescent="0.3">
      <c r="J5" s="2" t="s">
        <v>177</v>
      </c>
      <c r="K5" t="s">
        <v>190</v>
      </c>
    </row>
    <row r="6" spans="2:12" x14ac:dyDescent="0.3">
      <c r="J6" t="s">
        <v>180</v>
      </c>
      <c r="K6">
        <v>20</v>
      </c>
    </row>
    <row r="7" spans="2:12" x14ac:dyDescent="0.3">
      <c r="J7" t="s">
        <v>181</v>
      </c>
      <c r="K7">
        <v>10</v>
      </c>
    </row>
    <row r="8" spans="2:12" x14ac:dyDescent="0.3">
      <c r="J8" t="s">
        <v>182</v>
      </c>
      <c r="K8">
        <v>10</v>
      </c>
    </row>
    <row r="23" spans="2:2" x14ac:dyDescent="0.3">
      <c r="B23" s="17" t="s">
        <v>183</v>
      </c>
    </row>
    <row r="25" spans="2:2" ht="15.6" x14ac:dyDescent="0.3">
      <c r="B25" s="16" t="s">
        <v>184</v>
      </c>
    </row>
    <row r="26" spans="2:2" ht="15.6" x14ac:dyDescent="0.3">
      <c r="B26" s="16"/>
    </row>
    <row r="27" spans="2:2" ht="15.6" x14ac:dyDescent="0.3">
      <c r="B27" s="16" t="s">
        <v>185</v>
      </c>
    </row>
    <row r="28" spans="2:2" ht="15.6" x14ac:dyDescent="0.3">
      <c r="B28" s="16"/>
    </row>
    <row r="29" spans="2:2" ht="15.6" x14ac:dyDescent="0.3">
      <c r="B29" s="16" t="s">
        <v>186</v>
      </c>
    </row>
    <row r="30" spans="2:2" ht="15.6" x14ac:dyDescent="0.3">
      <c r="B30" s="16"/>
    </row>
    <row r="31" spans="2:2" ht="15.6" x14ac:dyDescent="0.3">
      <c r="B31" s="16" t="s">
        <v>187</v>
      </c>
    </row>
    <row r="33" spans="2:2" x14ac:dyDescent="0.3">
      <c r="B33" s="17" t="s">
        <v>189</v>
      </c>
    </row>
    <row r="35" spans="2:2" ht="15.6" x14ac:dyDescent="0.3">
      <c r="B35" s="16" t="s">
        <v>188</v>
      </c>
    </row>
  </sheetData>
  <mergeCells count="1">
    <mergeCell ref="B1:L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DA469-82D5-46DE-A86A-E03B0E4F2714}">
  <dimension ref="A1:T23"/>
  <sheetViews>
    <sheetView showGridLines="0" workbookViewId="0">
      <selection sqref="A1:XFD1"/>
    </sheetView>
  </sheetViews>
  <sheetFormatPr defaultRowHeight="14.4" x14ac:dyDescent="0.3"/>
  <cols>
    <col min="1" max="1" width="13.33203125" bestFit="1" customWidth="1"/>
    <col min="2" max="2" width="18.6640625" bestFit="1" customWidth="1"/>
  </cols>
  <sheetData>
    <row r="1" spans="1:20" s="30" customFormat="1" ht="18" x14ac:dyDescent="0.35">
      <c r="A1" s="30" t="s">
        <v>297</v>
      </c>
    </row>
    <row r="3" spans="1:20" x14ac:dyDescent="0.3">
      <c r="A3" s="2" t="s">
        <v>2</v>
      </c>
      <c r="B3" t="s">
        <v>167</v>
      </c>
    </row>
    <row r="4" spans="1:20" x14ac:dyDescent="0.3">
      <c r="A4" s="3" t="s">
        <v>9</v>
      </c>
      <c r="B4">
        <v>370</v>
      </c>
    </row>
    <row r="5" spans="1:20" x14ac:dyDescent="0.3">
      <c r="A5" s="3" t="s">
        <v>49</v>
      </c>
      <c r="B5">
        <v>300</v>
      </c>
      <c r="T5" s="11"/>
    </row>
    <row r="6" spans="1:20" x14ac:dyDescent="0.3">
      <c r="A6" s="3" t="s">
        <v>12</v>
      </c>
      <c r="B6">
        <v>300</v>
      </c>
    </row>
    <row r="7" spans="1:20" x14ac:dyDescent="0.3">
      <c r="A7" s="3" t="s">
        <v>18</v>
      </c>
      <c r="B7">
        <v>175</v>
      </c>
      <c r="Q7" s="11"/>
    </row>
    <row r="8" spans="1:20" x14ac:dyDescent="0.3">
      <c r="A8" s="3" t="s">
        <v>29</v>
      </c>
      <c r="B8">
        <v>165</v>
      </c>
    </row>
    <row r="9" spans="1:20" x14ac:dyDescent="0.3">
      <c r="A9" s="3" t="s">
        <v>15</v>
      </c>
      <c r="B9">
        <v>145</v>
      </c>
    </row>
    <row r="10" spans="1:20" x14ac:dyDescent="0.3">
      <c r="A10" s="3" t="s">
        <v>43</v>
      </c>
      <c r="B10">
        <v>130</v>
      </c>
    </row>
    <row r="11" spans="1:20" x14ac:dyDescent="0.3">
      <c r="A11" s="3" t="s">
        <v>21</v>
      </c>
      <c r="B11">
        <v>125</v>
      </c>
    </row>
    <row r="12" spans="1:20" x14ac:dyDescent="0.3">
      <c r="A12" s="3" t="s">
        <v>116</v>
      </c>
      <c r="B12">
        <v>90</v>
      </c>
    </row>
    <row r="13" spans="1:20" x14ac:dyDescent="0.3">
      <c r="A13" s="3" t="s">
        <v>112</v>
      </c>
      <c r="B13">
        <v>85</v>
      </c>
    </row>
    <row r="14" spans="1:20" x14ac:dyDescent="0.3">
      <c r="A14" s="3" t="s">
        <v>47</v>
      </c>
      <c r="B14">
        <v>40</v>
      </c>
    </row>
    <row r="15" spans="1:20" x14ac:dyDescent="0.3">
      <c r="A15" s="3" t="s">
        <v>165</v>
      </c>
      <c r="B15">
        <v>1925</v>
      </c>
    </row>
    <row r="21" spans="5:6" x14ac:dyDescent="0.3">
      <c r="E21" s="28" t="s">
        <v>189</v>
      </c>
      <c r="F21" s="28"/>
    </row>
    <row r="23" spans="5:6" x14ac:dyDescent="0.3">
      <c r="E23" t="s">
        <v>226</v>
      </c>
    </row>
  </sheetData>
  <mergeCells count="2">
    <mergeCell ref="A1:XFD1"/>
    <mergeCell ref="E21:F2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83203-BB49-432A-810C-F7092F49748D}">
  <dimension ref="A1:F23"/>
  <sheetViews>
    <sheetView showGridLines="0" workbookViewId="0">
      <selection sqref="A1:XFD1"/>
    </sheetView>
  </sheetViews>
  <sheetFormatPr defaultRowHeight="14.4" x14ac:dyDescent="0.3"/>
  <cols>
    <col min="1" max="1" width="24.5546875" bestFit="1" customWidth="1"/>
    <col min="2" max="2" width="18.5546875" bestFit="1" customWidth="1"/>
  </cols>
  <sheetData>
    <row r="1" spans="1:2" s="23" customFormat="1" ht="18" x14ac:dyDescent="0.35">
      <c r="A1" s="31" t="s">
        <v>224</v>
      </c>
    </row>
    <row r="3" spans="1:2" x14ac:dyDescent="0.3">
      <c r="A3" s="2" t="s">
        <v>7</v>
      </c>
      <c r="B3" t="s">
        <v>168</v>
      </c>
    </row>
    <row r="4" spans="1:2" x14ac:dyDescent="0.3">
      <c r="A4" s="3" t="s">
        <v>132</v>
      </c>
      <c r="B4">
        <v>490</v>
      </c>
    </row>
    <row r="5" spans="1:2" x14ac:dyDescent="0.3">
      <c r="A5" s="3" t="s">
        <v>153</v>
      </c>
      <c r="B5">
        <v>290</v>
      </c>
    </row>
    <row r="6" spans="1:2" x14ac:dyDescent="0.3">
      <c r="A6" s="3" t="s">
        <v>134</v>
      </c>
      <c r="B6">
        <v>220</v>
      </c>
    </row>
    <row r="7" spans="1:2" x14ac:dyDescent="0.3">
      <c r="A7" s="3" t="s">
        <v>158</v>
      </c>
      <c r="B7">
        <v>210</v>
      </c>
    </row>
    <row r="8" spans="1:2" x14ac:dyDescent="0.3">
      <c r="A8" s="3" t="s">
        <v>144</v>
      </c>
      <c r="B8">
        <v>180</v>
      </c>
    </row>
    <row r="9" spans="1:2" x14ac:dyDescent="0.3">
      <c r="A9" s="3" t="s">
        <v>149</v>
      </c>
      <c r="B9">
        <v>160</v>
      </c>
    </row>
    <row r="10" spans="1:2" x14ac:dyDescent="0.3">
      <c r="A10" s="3" t="s">
        <v>137</v>
      </c>
      <c r="B10">
        <v>160</v>
      </c>
    </row>
    <row r="11" spans="1:2" x14ac:dyDescent="0.3">
      <c r="A11" s="3" t="s">
        <v>136</v>
      </c>
      <c r="B11">
        <v>150</v>
      </c>
    </row>
    <row r="12" spans="1:2" x14ac:dyDescent="0.3">
      <c r="A12" s="3" t="s">
        <v>146</v>
      </c>
      <c r="B12">
        <v>150</v>
      </c>
    </row>
    <row r="13" spans="1:2" x14ac:dyDescent="0.3">
      <c r="A13" s="3" t="s">
        <v>138</v>
      </c>
      <c r="B13">
        <v>140</v>
      </c>
    </row>
    <row r="14" spans="1:2" x14ac:dyDescent="0.3">
      <c r="A14" s="3" t="s">
        <v>165</v>
      </c>
      <c r="B14">
        <v>2150</v>
      </c>
    </row>
    <row r="21" spans="5:6" x14ac:dyDescent="0.3">
      <c r="E21" s="28" t="s">
        <v>189</v>
      </c>
      <c r="F21" s="28"/>
    </row>
    <row r="23" spans="5:6" x14ac:dyDescent="0.3">
      <c r="E23" t="s">
        <v>227</v>
      </c>
    </row>
  </sheetData>
  <mergeCells count="2">
    <mergeCell ref="A1:XFD1"/>
    <mergeCell ref="E21:F2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34AE1-CE3E-4113-AE1F-79C194E945B7}">
  <dimension ref="A1:F23"/>
  <sheetViews>
    <sheetView showGridLines="0" workbookViewId="0">
      <selection sqref="A1:XFD1"/>
    </sheetView>
  </sheetViews>
  <sheetFormatPr defaultRowHeight="14.4" x14ac:dyDescent="0.3"/>
  <cols>
    <col min="1" max="1" width="12.5546875" bestFit="1" customWidth="1"/>
    <col min="2" max="2" width="12.33203125" bestFit="1" customWidth="1"/>
  </cols>
  <sheetData>
    <row r="1" spans="1:2" s="23" customFormat="1" ht="18" x14ac:dyDescent="0.35">
      <c r="A1" s="31" t="s">
        <v>225</v>
      </c>
    </row>
    <row r="3" spans="1:2" x14ac:dyDescent="0.3">
      <c r="A3" s="2" t="s">
        <v>1</v>
      </c>
      <c r="B3" t="s">
        <v>166</v>
      </c>
    </row>
    <row r="4" spans="1:2" x14ac:dyDescent="0.3">
      <c r="A4" t="s">
        <v>20</v>
      </c>
      <c r="B4">
        <v>7</v>
      </c>
    </row>
    <row r="5" spans="1:2" x14ac:dyDescent="0.3">
      <c r="A5" t="s">
        <v>17</v>
      </c>
      <c r="B5">
        <v>5</v>
      </c>
    </row>
    <row r="6" spans="1:2" x14ac:dyDescent="0.3">
      <c r="A6" t="s">
        <v>111</v>
      </c>
      <c r="B6">
        <v>3.8</v>
      </c>
    </row>
    <row r="7" spans="1:2" x14ac:dyDescent="0.3">
      <c r="A7" t="s">
        <v>126</v>
      </c>
      <c r="B7">
        <v>3.5</v>
      </c>
    </row>
    <row r="8" spans="1:2" x14ac:dyDescent="0.3">
      <c r="A8" t="s">
        <v>23</v>
      </c>
      <c r="B8">
        <v>2.3333333333333335</v>
      </c>
    </row>
    <row r="9" spans="1:2" x14ac:dyDescent="0.3">
      <c r="A9" t="s">
        <v>114</v>
      </c>
      <c r="B9">
        <v>2.25</v>
      </c>
    </row>
    <row r="10" spans="1:2" x14ac:dyDescent="0.3">
      <c r="A10" t="s">
        <v>77</v>
      </c>
      <c r="B10">
        <v>2</v>
      </c>
    </row>
    <row r="11" spans="1:2" x14ac:dyDescent="0.3">
      <c r="A11" t="s">
        <v>27</v>
      </c>
      <c r="B11">
        <v>2</v>
      </c>
    </row>
    <row r="12" spans="1:2" x14ac:dyDescent="0.3">
      <c r="A12" t="s">
        <v>171</v>
      </c>
      <c r="B12">
        <v>2</v>
      </c>
    </row>
    <row r="13" spans="1:2" x14ac:dyDescent="0.3">
      <c r="A13" t="s">
        <v>123</v>
      </c>
      <c r="B13">
        <v>1.8571428571428572</v>
      </c>
    </row>
    <row r="21" spans="5:6" x14ac:dyDescent="0.3">
      <c r="E21" s="28" t="s">
        <v>189</v>
      </c>
      <c r="F21" s="28"/>
    </row>
    <row r="23" spans="5:6" x14ac:dyDescent="0.3">
      <c r="E23" t="s">
        <v>228</v>
      </c>
    </row>
  </sheetData>
  <mergeCells count="2">
    <mergeCell ref="A1:XFD1"/>
    <mergeCell ref="E21:F2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E454-D2D6-425F-B27B-8A87969FBE2D}">
  <sheetPr filterMode="1"/>
  <dimension ref="A1:P112"/>
  <sheetViews>
    <sheetView showGridLines="0" workbookViewId="0">
      <selection activeCell="P88" sqref="P88"/>
    </sheetView>
  </sheetViews>
  <sheetFormatPr defaultRowHeight="14.4" x14ac:dyDescent="0.3"/>
  <cols>
    <col min="5" max="5" width="23" bestFit="1" customWidth="1"/>
  </cols>
  <sheetData>
    <row r="1" spans="1:16" ht="18" x14ac:dyDescent="0.35">
      <c r="A1" s="32" t="s">
        <v>210</v>
      </c>
      <c r="B1" s="25"/>
      <c r="C1" s="25"/>
      <c r="D1" s="25"/>
      <c r="E1" s="25"/>
      <c r="F1" s="25"/>
      <c r="G1" s="25"/>
      <c r="H1" s="25"/>
      <c r="I1" s="25"/>
      <c r="J1" s="25"/>
      <c r="K1" s="25"/>
      <c r="L1" s="25"/>
      <c r="M1" s="25"/>
      <c r="N1" s="25"/>
      <c r="O1" s="25"/>
      <c r="P1" s="25"/>
    </row>
    <row r="2" spans="1:16" ht="18" x14ac:dyDescent="0.35">
      <c r="A2" s="19"/>
      <c r="B2" s="11"/>
      <c r="C2" s="11"/>
      <c r="D2" s="11"/>
      <c r="E2" s="11"/>
      <c r="F2" s="11"/>
      <c r="G2" s="11"/>
      <c r="H2" s="11"/>
      <c r="I2" s="11"/>
      <c r="J2" s="11"/>
      <c r="K2" s="11"/>
      <c r="L2" s="11"/>
      <c r="M2" s="11"/>
      <c r="N2" s="11"/>
      <c r="O2" s="11"/>
      <c r="P2" s="11"/>
    </row>
    <row r="3" spans="1:16" x14ac:dyDescent="0.3">
      <c r="A3" s="1" t="s">
        <v>0</v>
      </c>
      <c r="B3" s="1" t="s">
        <v>1</v>
      </c>
      <c r="C3" s="15" t="s">
        <v>191</v>
      </c>
      <c r="D3" s="15" t="s">
        <v>192</v>
      </c>
      <c r="E3" s="15" t="s">
        <v>193</v>
      </c>
    </row>
    <row r="4" spans="1:16" x14ac:dyDescent="0.3">
      <c r="A4" t="s">
        <v>64</v>
      </c>
      <c r="B4" t="s">
        <v>111</v>
      </c>
      <c r="C4" t="s">
        <v>194</v>
      </c>
      <c r="D4">
        <v>25</v>
      </c>
      <c r="E4" s="18" t="str">
        <f>""</f>
        <v/>
      </c>
      <c r="H4" s="33" t="s">
        <v>206</v>
      </c>
      <c r="I4" s="33"/>
      <c r="J4" s="35" t="s">
        <v>208</v>
      </c>
      <c r="K4" s="35"/>
      <c r="L4" s="35" t="s">
        <v>209</v>
      </c>
      <c r="M4" s="35"/>
    </row>
    <row r="5" spans="1:16" x14ac:dyDescent="0.3">
      <c r="A5" t="s">
        <v>64</v>
      </c>
      <c r="B5" t="s">
        <v>111</v>
      </c>
      <c r="C5" t="s">
        <v>195</v>
      </c>
      <c r="D5">
        <v>20</v>
      </c>
      <c r="E5" s="18" t="str">
        <f>""</f>
        <v/>
      </c>
      <c r="H5" s="34" t="s">
        <v>207</v>
      </c>
      <c r="I5" s="34"/>
      <c r="J5" s="36" t="s">
        <v>207</v>
      </c>
      <c r="K5" s="36"/>
      <c r="L5" s="36" t="s">
        <v>205</v>
      </c>
      <c r="M5" s="36"/>
    </row>
    <row r="6" spans="1:16" x14ac:dyDescent="0.3">
      <c r="A6" t="s">
        <v>64</v>
      </c>
      <c r="B6" t="s">
        <v>111</v>
      </c>
      <c r="C6" t="s">
        <v>196</v>
      </c>
      <c r="D6">
        <v>20</v>
      </c>
      <c r="E6">
        <f>ROUND(AVERAGE(D4:D6),2)</f>
        <v>21.67</v>
      </c>
    </row>
    <row r="7" spans="1:16" x14ac:dyDescent="0.3">
      <c r="A7" t="s">
        <v>64</v>
      </c>
      <c r="B7" t="s">
        <v>111</v>
      </c>
      <c r="C7" t="s">
        <v>197</v>
      </c>
      <c r="D7">
        <v>10</v>
      </c>
      <c r="E7">
        <f t="shared" ref="E7:E9" si="0">ROUND(AVERAGE(D5:D7),2)</f>
        <v>16.670000000000002</v>
      </c>
    </row>
    <row r="8" spans="1:16" x14ac:dyDescent="0.3">
      <c r="A8" t="s">
        <v>64</v>
      </c>
      <c r="B8" t="s">
        <v>111</v>
      </c>
      <c r="C8" t="s">
        <v>198</v>
      </c>
      <c r="D8">
        <v>10</v>
      </c>
      <c r="E8">
        <f t="shared" si="0"/>
        <v>13.33</v>
      </c>
    </row>
    <row r="9" spans="1:16" x14ac:dyDescent="0.3">
      <c r="A9" t="s">
        <v>64</v>
      </c>
      <c r="B9" t="s">
        <v>111</v>
      </c>
      <c r="C9" t="s">
        <v>199</v>
      </c>
      <c r="D9">
        <v>10</v>
      </c>
      <c r="E9">
        <f t="shared" si="0"/>
        <v>10</v>
      </c>
    </row>
    <row r="10" spans="1:16" hidden="1" x14ac:dyDescent="0.3"/>
    <row r="11" spans="1:16" hidden="1" x14ac:dyDescent="0.3">
      <c r="A11" t="s">
        <v>65</v>
      </c>
      <c r="B11" t="s">
        <v>114</v>
      </c>
      <c r="C11" t="s">
        <v>194</v>
      </c>
      <c r="D11">
        <v>30</v>
      </c>
      <c r="E11" s="18" t="s">
        <v>200</v>
      </c>
    </row>
    <row r="12" spans="1:16" hidden="1" x14ac:dyDescent="0.3">
      <c r="A12" t="s">
        <v>65</v>
      </c>
      <c r="B12" t="s">
        <v>114</v>
      </c>
      <c r="C12" t="s">
        <v>195</v>
      </c>
      <c r="D12">
        <v>15</v>
      </c>
      <c r="E12" s="18" t="s">
        <v>200</v>
      </c>
    </row>
    <row r="13" spans="1:16" hidden="1" x14ac:dyDescent="0.3">
      <c r="A13" t="s">
        <v>65</v>
      </c>
      <c r="B13" t="s">
        <v>114</v>
      </c>
      <c r="C13" t="s">
        <v>196</v>
      </c>
      <c r="D13">
        <v>15</v>
      </c>
      <c r="E13">
        <f>ROUND(AVERAGE(D11:D13),2)</f>
        <v>20</v>
      </c>
    </row>
    <row r="14" spans="1:16" hidden="1" x14ac:dyDescent="0.3">
      <c r="A14" t="s">
        <v>65</v>
      </c>
      <c r="B14" t="s">
        <v>114</v>
      </c>
      <c r="C14" t="s">
        <v>197</v>
      </c>
      <c r="D14">
        <v>10</v>
      </c>
      <c r="E14">
        <f t="shared" ref="E14:E16" si="1">ROUND(AVERAGE(D12:D14),2)</f>
        <v>13.33</v>
      </c>
    </row>
    <row r="15" spans="1:16" hidden="1" x14ac:dyDescent="0.3">
      <c r="A15" t="s">
        <v>65</v>
      </c>
      <c r="B15" t="s">
        <v>114</v>
      </c>
      <c r="C15" t="s">
        <v>198</v>
      </c>
      <c r="D15">
        <v>15</v>
      </c>
      <c r="E15">
        <f t="shared" si="1"/>
        <v>13.33</v>
      </c>
    </row>
    <row r="16" spans="1:16" hidden="1" x14ac:dyDescent="0.3">
      <c r="A16" t="s">
        <v>65</v>
      </c>
      <c r="B16" t="s">
        <v>114</v>
      </c>
      <c r="C16" t="s">
        <v>199</v>
      </c>
      <c r="D16">
        <v>5</v>
      </c>
      <c r="E16">
        <f t="shared" si="1"/>
        <v>10</v>
      </c>
    </row>
    <row r="17" spans="1:5" hidden="1" x14ac:dyDescent="0.3"/>
    <row r="18" spans="1:5" hidden="1" x14ac:dyDescent="0.3">
      <c r="A18" t="s">
        <v>28</v>
      </c>
      <c r="B18" t="s">
        <v>77</v>
      </c>
      <c r="C18" t="s">
        <v>194</v>
      </c>
      <c r="D18">
        <v>20</v>
      </c>
      <c r="E18" s="18" t="s">
        <v>200</v>
      </c>
    </row>
    <row r="19" spans="1:5" hidden="1" x14ac:dyDescent="0.3">
      <c r="A19" t="s">
        <v>28</v>
      </c>
      <c r="B19" t="s">
        <v>77</v>
      </c>
      <c r="C19" t="s">
        <v>195</v>
      </c>
      <c r="D19">
        <v>10</v>
      </c>
      <c r="E19" s="18" t="s">
        <v>200</v>
      </c>
    </row>
    <row r="20" spans="1:5" hidden="1" x14ac:dyDescent="0.3">
      <c r="A20" t="s">
        <v>28</v>
      </c>
      <c r="B20" t="s">
        <v>77</v>
      </c>
      <c r="C20" t="s">
        <v>196</v>
      </c>
      <c r="D20">
        <v>15</v>
      </c>
      <c r="E20">
        <f>ROUND(AVERAGE(D18:D20),2)</f>
        <v>15</v>
      </c>
    </row>
    <row r="21" spans="1:5" hidden="1" x14ac:dyDescent="0.3">
      <c r="A21" t="s">
        <v>28</v>
      </c>
      <c r="B21" t="s">
        <v>77</v>
      </c>
      <c r="C21" t="s">
        <v>197</v>
      </c>
      <c r="D21">
        <v>15</v>
      </c>
      <c r="E21">
        <f t="shared" ref="E21:E23" si="2">ROUND(AVERAGE(D19:D21),2)</f>
        <v>13.33</v>
      </c>
    </row>
    <row r="22" spans="1:5" hidden="1" x14ac:dyDescent="0.3">
      <c r="A22" t="s">
        <v>28</v>
      </c>
      <c r="B22" t="s">
        <v>77</v>
      </c>
      <c r="C22" t="s">
        <v>198</v>
      </c>
      <c r="D22">
        <v>10</v>
      </c>
      <c r="E22">
        <f t="shared" si="2"/>
        <v>13.33</v>
      </c>
    </row>
    <row r="23" spans="1:5" hidden="1" x14ac:dyDescent="0.3">
      <c r="A23" t="s">
        <v>28</v>
      </c>
      <c r="B23" t="s">
        <v>77</v>
      </c>
      <c r="C23" t="s">
        <v>199</v>
      </c>
      <c r="D23">
        <v>10</v>
      </c>
      <c r="E23">
        <f t="shared" si="2"/>
        <v>11.67</v>
      </c>
    </row>
    <row r="24" spans="1:5" hidden="1" x14ac:dyDescent="0.3"/>
    <row r="25" spans="1:5" hidden="1" x14ac:dyDescent="0.3">
      <c r="A25" t="s">
        <v>22</v>
      </c>
      <c r="B25" t="s">
        <v>23</v>
      </c>
      <c r="C25" t="s">
        <v>194</v>
      </c>
      <c r="D25">
        <v>15</v>
      </c>
      <c r="E25" s="18" t="s">
        <v>200</v>
      </c>
    </row>
    <row r="26" spans="1:5" hidden="1" x14ac:dyDescent="0.3">
      <c r="A26" t="s">
        <v>22</v>
      </c>
      <c r="B26" t="s">
        <v>23</v>
      </c>
      <c r="C26" t="s">
        <v>195</v>
      </c>
      <c r="D26">
        <v>10</v>
      </c>
      <c r="E26" s="18" t="s">
        <v>200</v>
      </c>
    </row>
    <row r="27" spans="1:5" hidden="1" x14ac:dyDescent="0.3">
      <c r="A27" t="s">
        <v>22</v>
      </c>
      <c r="B27" t="s">
        <v>23</v>
      </c>
      <c r="C27" t="s">
        <v>196</v>
      </c>
      <c r="D27">
        <v>10</v>
      </c>
      <c r="E27">
        <f>ROUND(AVERAGE(D25:D27),2)</f>
        <v>11.67</v>
      </c>
    </row>
    <row r="28" spans="1:5" hidden="1" x14ac:dyDescent="0.3">
      <c r="A28" t="s">
        <v>22</v>
      </c>
      <c r="B28" t="s">
        <v>23</v>
      </c>
      <c r="C28" t="s">
        <v>197</v>
      </c>
      <c r="D28">
        <v>15</v>
      </c>
      <c r="E28">
        <f t="shared" ref="E28:E30" si="3">ROUND(AVERAGE(D26:D28),2)</f>
        <v>11.67</v>
      </c>
    </row>
    <row r="29" spans="1:5" hidden="1" x14ac:dyDescent="0.3">
      <c r="A29" t="s">
        <v>22</v>
      </c>
      <c r="B29" t="s">
        <v>23</v>
      </c>
      <c r="C29" t="s">
        <v>198</v>
      </c>
      <c r="D29">
        <v>10</v>
      </c>
      <c r="E29">
        <f t="shared" si="3"/>
        <v>11.67</v>
      </c>
    </row>
    <row r="30" spans="1:5" hidden="1" x14ac:dyDescent="0.3">
      <c r="A30" t="s">
        <v>22</v>
      </c>
      <c r="B30" t="s">
        <v>23</v>
      </c>
      <c r="C30" t="s">
        <v>199</v>
      </c>
      <c r="D30">
        <v>10</v>
      </c>
      <c r="E30">
        <f t="shared" si="3"/>
        <v>11.67</v>
      </c>
    </row>
    <row r="31" spans="1:5" hidden="1" x14ac:dyDescent="0.3"/>
    <row r="32" spans="1:5" hidden="1" x14ac:dyDescent="0.3">
      <c r="A32" t="s">
        <v>37</v>
      </c>
      <c r="B32" t="s">
        <v>50</v>
      </c>
      <c r="C32" t="s">
        <v>194</v>
      </c>
      <c r="D32">
        <v>15</v>
      </c>
      <c r="E32" s="18" t="s">
        <v>200</v>
      </c>
    </row>
    <row r="33" spans="1:5" hidden="1" x14ac:dyDescent="0.3">
      <c r="A33" t="s">
        <v>37</v>
      </c>
      <c r="B33" t="s">
        <v>50</v>
      </c>
      <c r="C33" t="s">
        <v>195</v>
      </c>
      <c r="D33">
        <v>25</v>
      </c>
      <c r="E33" s="18" t="s">
        <v>200</v>
      </c>
    </row>
    <row r="34" spans="1:5" hidden="1" x14ac:dyDescent="0.3">
      <c r="A34" t="s">
        <v>37</v>
      </c>
      <c r="B34" t="s">
        <v>50</v>
      </c>
      <c r="C34" t="s">
        <v>196</v>
      </c>
      <c r="D34">
        <v>5</v>
      </c>
      <c r="E34">
        <f>ROUND(AVERAGE(D32:D34),2)</f>
        <v>15</v>
      </c>
    </row>
    <row r="35" spans="1:5" hidden="1" x14ac:dyDescent="0.3">
      <c r="A35" t="s">
        <v>37</v>
      </c>
      <c r="B35" t="s">
        <v>50</v>
      </c>
      <c r="C35" t="s">
        <v>197</v>
      </c>
      <c r="D35">
        <v>15</v>
      </c>
      <c r="E35">
        <f t="shared" ref="E35:E37" si="4">ROUND(AVERAGE(D33:D35),2)</f>
        <v>15</v>
      </c>
    </row>
    <row r="36" spans="1:5" hidden="1" x14ac:dyDescent="0.3">
      <c r="A36" t="s">
        <v>37</v>
      </c>
      <c r="B36" t="s">
        <v>50</v>
      </c>
      <c r="C36" t="s">
        <v>198</v>
      </c>
      <c r="D36">
        <v>5</v>
      </c>
      <c r="E36">
        <f t="shared" si="4"/>
        <v>8.33</v>
      </c>
    </row>
    <row r="37" spans="1:5" hidden="1" x14ac:dyDescent="0.3">
      <c r="A37" t="s">
        <v>37</v>
      </c>
      <c r="B37" t="s">
        <v>50</v>
      </c>
      <c r="C37" t="s">
        <v>199</v>
      </c>
      <c r="D37">
        <v>10</v>
      </c>
      <c r="E37">
        <f t="shared" si="4"/>
        <v>10</v>
      </c>
    </row>
    <row r="38" spans="1:5" hidden="1" x14ac:dyDescent="0.3"/>
    <row r="39" spans="1:5" hidden="1" x14ac:dyDescent="0.3">
      <c r="A39" t="s">
        <v>66</v>
      </c>
      <c r="B39" t="s">
        <v>115</v>
      </c>
      <c r="C39" t="s">
        <v>194</v>
      </c>
      <c r="D39">
        <v>10</v>
      </c>
      <c r="E39" s="18" t="s">
        <v>200</v>
      </c>
    </row>
    <row r="40" spans="1:5" hidden="1" x14ac:dyDescent="0.3">
      <c r="A40" t="s">
        <v>66</v>
      </c>
      <c r="B40" t="s">
        <v>115</v>
      </c>
      <c r="C40" t="s">
        <v>195</v>
      </c>
      <c r="D40">
        <v>20</v>
      </c>
      <c r="E40" s="18" t="s">
        <v>200</v>
      </c>
    </row>
    <row r="41" spans="1:5" hidden="1" x14ac:dyDescent="0.3">
      <c r="A41" t="s">
        <v>66</v>
      </c>
      <c r="B41" t="s">
        <v>115</v>
      </c>
      <c r="C41" t="s">
        <v>196</v>
      </c>
      <c r="D41">
        <v>25</v>
      </c>
      <c r="E41">
        <f>ROUND(AVERAGE(D39:D41),2)</f>
        <v>18.329999999999998</v>
      </c>
    </row>
    <row r="42" spans="1:5" hidden="1" x14ac:dyDescent="0.3">
      <c r="A42" t="s">
        <v>66</v>
      </c>
      <c r="B42" t="s">
        <v>115</v>
      </c>
      <c r="C42" t="s">
        <v>197</v>
      </c>
      <c r="D42">
        <v>5</v>
      </c>
      <c r="E42">
        <f t="shared" ref="E42:E44" si="5">ROUND(AVERAGE(D40:D42),2)</f>
        <v>16.670000000000002</v>
      </c>
    </row>
    <row r="43" spans="1:5" hidden="1" x14ac:dyDescent="0.3">
      <c r="A43" t="s">
        <v>66</v>
      </c>
      <c r="B43" t="s">
        <v>115</v>
      </c>
      <c r="C43" t="s">
        <v>198</v>
      </c>
      <c r="D43">
        <v>5</v>
      </c>
      <c r="E43">
        <f t="shared" si="5"/>
        <v>11.67</v>
      </c>
    </row>
    <row r="44" spans="1:5" hidden="1" x14ac:dyDescent="0.3">
      <c r="A44" t="s">
        <v>66</v>
      </c>
      <c r="B44" t="s">
        <v>115</v>
      </c>
      <c r="C44" t="s">
        <v>199</v>
      </c>
      <c r="D44">
        <v>5</v>
      </c>
      <c r="E44">
        <f t="shared" si="5"/>
        <v>5</v>
      </c>
    </row>
    <row r="45" spans="1:5" hidden="1" x14ac:dyDescent="0.3"/>
    <row r="46" spans="1:5" hidden="1" x14ac:dyDescent="0.3">
      <c r="A46" t="s">
        <v>55</v>
      </c>
      <c r="B46" t="s">
        <v>171</v>
      </c>
      <c r="C46" t="s">
        <v>194</v>
      </c>
      <c r="D46">
        <v>10</v>
      </c>
      <c r="E46" s="18" t="s">
        <v>200</v>
      </c>
    </row>
    <row r="47" spans="1:5" hidden="1" x14ac:dyDescent="0.3">
      <c r="A47" t="s">
        <v>55</v>
      </c>
      <c r="B47" t="s">
        <v>171</v>
      </c>
      <c r="C47" t="s">
        <v>195</v>
      </c>
      <c r="D47">
        <v>20</v>
      </c>
      <c r="E47" s="18" t="s">
        <v>200</v>
      </c>
    </row>
    <row r="48" spans="1:5" hidden="1" x14ac:dyDescent="0.3">
      <c r="A48" t="s">
        <v>55</v>
      </c>
      <c r="B48" t="s">
        <v>171</v>
      </c>
      <c r="C48" t="s">
        <v>196</v>
      </c>
      <c r="D48">
        <v>25</v>
      </c>
      <c r="E48">
        <f>ROUND(AVERAGE(D46:D48),2)</f>
        <v>18.329999999999998</v>
      </c>
    </row>
    <row r="49" spans="1:5" hidden="1" x14ac:dyDescent="0.3">
      <c r="A49" t="s">
        <v>55</v>
      </c>
      <c r="B49" t="s">
        <v>171</v>
      </c>
      <c r="C49" t="s">
        <v>197</v>
      </c>
      <c r="D49">
        <v>10</v>
      </c>
      <c r="E49">
        <f t="shared" ref="E49:E51" si="6">ROUND(AVERAGE(D47:D49),2)</f>
        <v>18.329999999999998</v>
      </c>
    </row>
    <row r="50" spans="1:5" hidden="1" x14ac:dyDescent="0.3">
      <c r="A50" t="s">
        <v>55</v>
      </c>
      <c r="B50" t="s">
        <v>171</v>
      </c>
      <c r="C50" t="s">
        <v>198</v>
      </c>
      <c r="D50">
        <v>5</v>
      </c>
      <c r="E50">
        <f t="shared" si="6"/>
        <v>13.33</v>
      </c>
    </row>
    <row r="51" spans="1:5" hidden="1" x14ac:dyDescent="0.3">
      <c r="A51" t="s">
        <v>55</v>
      </c>
      <c r="B51" t="s">
        <v>171</v>
      </c>
      <c r="C51" t="s">
        <v>199</v>
      </c>
      <c r="D51">
        <v>10</v>
      </c>
      <c r="E51">
        <f t="shared" si="6"/>
        <v>8.33</v>
      </c>
    </row>
    <row r="52" spans="1:5" hidden="1" x14ac:dyDescent="0.3"/>
    <row r="53" spans="1:5" hidden="1" x14ac:dyDescent="0.3">
      <c r="A53" t="s">
        <v>56</v>
      </c>
      <c r="B53" t="s">
        <v>75</v>
      </c>
      <c r="C53" t="s">
        <v>194</v>
      </c>
      <c r="D53">
        <v>15</v>
      </c>
      <c r="E53" s="18" t="s">
        <v>200</v>
      </c>
    </row>
    <row r="54" spans="1:5" hidden="1" x14ac:dyDescent="0.3">
      <c r="A54" t="s">
        <v>56</v>
      </c>
      <c r="B54" t="s">
        <v>75</v>
      </c>
      <c r="C54" t="s">
        <v>195</v>
      </c>
      <c r="D54">
        <v>10</v>
      </c>
      <c r="E54" s="18" t="s">
        <v>200</v>
      </c>
    </row>
    <row r="55" spans="1:5" hidden="1" x14ac:dyDescent="0.3">
      <c r="A55" t="s">
        <v>56</v>
      </c>
      <c r="B55" t="s">
        <v>75</v>
      </c>
      <c r="C55" t="s">
        <v>196</v>
      </c>
      <c r="D55">
        <v>10</v>
      </c>
      <c r="E55">
        <f>ROUND(AVERAGE(D53:D55),2)</f>
        <v>11.67</v>
      </c>
    </row>
    <row r="56" spans="1:5" hidden="1" x14ac:dyDescent="0.3">
      <c r="A56" t="s">
        <v>56</v>
      </c>
      <c r="B56" t="s">
        <v>75</v>
      </c>
      <c r="C56" t="s">
        <v>197</v>
      </c>
      <c r="D56">
        <v>20</v>
      </c>
      <c r="E56">
        <f t="shared" ref="E56:E58" si="7">ROUND(AVERAGE(D54:D56),2)</f>
        <v>13.33</v>
      </c>
    </row>
    <row r="57" spans="1:5" hidden="1" x14ac:dyDescent="0.3">
      <c r="A57" t="s">
        <v>56</v>
      </c>
      <c r="B57" t="s">
        <v>75</v>
      </c>
      <c r="C57" t="s">
        <v>198</v>
      </c>
      <c r="D57">
        <v>10</v>
      </c>
      <c r="E57">
        <f t="shared" si="7"/>
        <v>13.33</v>
      </c>
    </row>
    <row r="58" spans="1:5" hidden="1" x14ac:dyDescent="0.3">
      <c r="A58" t="s">
        <v>56</v>
      </c>
      <c r="B58" t="s">
        <v>75</v>
      </c>
      <c r="C58" t="s">
        <v>199</v>
      </c>
      <c r="D58">
        <v>5</v>
      </c>
      <c r="E58">
        <f t="shared" si="7"/>
        <v>11.67</v>
      </c>
    </row>
    <row r="59" spans="1:5" hidden="1" x14ac:dyDescent="0.3"/>
    <row r="60" spans="1:5" hidden="1" x14ac:dyDescent="0.3">
      <c r="A60" t="s">
        <v>19</v>
      </c>
      <c r="B60" t="s">
        <v>20</v>
      </c>
      <c r="C60" t="s">
        <v>194</v>
      </c>
      <c r="D60">
        <v>5</v>
      </c>
      <c r="E60" s="18" t="s">
        <v>200</v>
      </c>
    </row>
    <row r="61" spans="1:5" hidden="1" x14ac:dyDescent="0.3">
      <c r="A61" t="s">
        <v>19</v>
      </c>
      <c r="B61" t="s">
        <v>20</v>
      </c>
      <c r="C61" t="s">
        <v>195</v>
      </c>
      <c r="D61">
        <v>5</v>
      </c>
      <c r="E61" s="18" t="s">
        <v>200</v>
      </c>
    </row>
    <row r="62" spans="1:5" hidden="1" x14ac:dyDescent="0.3">
      <c r="A62" t="s">
        <v>19</v>
      </c>
      <c r="B62" t="s">
        <v>20</v>
      </c>
      <c r="C62" t="s">
        <v>196</v>
      </c>
      <c r="D62">
        <v>5</v>
      </c>
      <c r="E62">
        <f>ROUND(AVERAGE(D60:D62),2)</f>
        <v>5</v>
      </c>
    </row>
    <row r="63" spans="1:5" hidden="1" x14ac:dyDescent="0.3">
      <c r="A63" t="s">
        <v>19</v>
      </c>
      <c r="B63" t="s">
        <v>20</v>
      </c>
      <c r="C63" t="s">
        <v>197</v>
      </c>
      <c r="D63">
        <v>10</v>
      </c>
      <c r="E63">
        <f t="shared" ref="E63:E65" si="8">ROUND(AVERAGE(D61:D63),2)</f>
        <v>6.67</v>
      </c>
    </row>
    <row r="64" spans="1:5" hidden="1" x14ac:dyDescent="0.3">
      <c r="A64" t="s">
        <v>19</v>
      </c>
      <c r="B64" t="s">
        <v>20</v>
      </c>
      <c r="C64" t="s">
        <v>198</v>
      </c>
      <c r="D64">
        <v>5</v>
      </c>
      <c r="E64">
        <f t="shared" si="8"/>
        <v>6.67</v>
      </c>
    </row>
    <row r="65" spans="1:5" hidden="1" x14ac:dyDescent="0.3">
      <c r="A65" t="s">
        <v>19</v>
      </c>
      <c r="B65" t="s">
        <v>20</v>
      </c>
      <c r="C65" t="s">
        <v>199</v>
      </c>
      <c r="D65">
        <v>5</v>
      </c>
      <c r="E65">
        <f t="shared" si="8"/>
        <v>6.67</v>
      </c>
    </row>
    <row r="66" spans="1:5" hidden="1" x14ac:dyDescent="0.3"/>
    <row r="67" spans="1:5" hidden="1" x14ac:dyDescent="0.3">
      <c r="A67" t="s">
        <v>63</v>
      </c>
      <c r="B67" t="s">
        <v>82</v>
      </c>
      <c r="C67" t="s">
        <v>194</v>
      </c>
      <c r="D67">
        <v>5</v>
      </c>
      <c r="E67" s="18" t="s">
        <v>200</v>
      </c>
    </row>
    <row r="68" spans="1:5" hidden="1" x14ac:dyDescent="0.3">
      <c r="A68" t="s">
        <v>63</v>
      </c>
      <c r="B68" t="s">
        <v>82</v>
      </c>
      <c r="C68" t="s">
        <v>195</v>
      </c>
      <c r="D68">
        <v>10</v>
      </c>
      <c r="E68" s="18" t="s">
        <v>200</v>
      </c>
    </row>
    <row r="69" spans="1:5" hidden="1" x14ac:dyDescent="0.3">
      <c r="A69" t="s">
        <v>63</v>
      </c>
      <c r="B69" t="s">
        <v>82</v>
      </c>
      <c r="C69" t="s">
        <v>196</v>
      </c>
      <c r="D69">
        <v>10</v>
      </c>
      <c r="E69" s="18">
        <f>ROUND(AVERAGE(D67:D69),2)</f>
        <v>8.33</v>
      </c>
    </row>
    <row r="70" spans="1:5" hidden="1" x14ac:dyDescent="0.3">
      <c r="A70" t="s">
        <v>63</v>
      </c>
      <c r="B70" t="s">
        <v>82</v>
      </c>
      <c r="C70" t="s">
        <v>197</v>
      </c>
      <c r="D70">
        <v>5</v>
      </c>
      <c r="E70" s="18">
        <f t="shared" ref="E70:E72" si="9">ROUND(AVERAGE(D68:D70),2)</f>
        <v>8.33</v>
      </c>
    </row>
    <row r="71" spans="1:5" hidden="1" x14ac:dyDescent="0.3">
      <c r="A71" t="s">
        <v>63</v>
      </c>
      <c r="B71" t="s">
        <v>82</v>
      </c>
      <c r="C71" t="s">
        <v>198</v>
      </c>
      <c r="D71">
        <v>5</v>
      </c>
      <c r="E71" s="18">
        <f t="shared" si="9"/>
        <v>6.67</v>
      </c>
    </row>
    <row r="72" spans="1:5" hidden="1" x14ac:dyDescent="0.3">
      <c r="A72" t="s">
        <v>63</v>
      </c>
      <c r="B72" t="s">
        <v>82</v>
      </c>
      <c r="C72" t="s">
        <v>199</v>
      </c>
      <c r="D72">
        <v>5</v>
      </c>
      <c r="E72" s="18">
        <f t="shared" si="9"/>
        <v>5</v>
      </c>
    </row>
    <row r="73" spans="1:5" hidden="1" x14ac:dyDescent="0.3"/>
    <row r="74" spans="1:5" hidden="1" x14ac:dyDescent="0.3">
      <c r="A74" t="s">
        <v>24</v>
      </c>
      <c r="B74" t="s">
        <v>25</v>
      </c>
      <c r="C74" t="s">
        <v>194</v>
      </c>
      <c r="D74">
        <v>5</v>
      </c>
      <c r="E74" s="18" t="s">
        <v>200</v>
      </c>
    </row>
    <row r="75" spans="1:5" hidden="1" x14ac:dyDescent="0.3">
      <c r="A75" t="s">
        <v>24</v>
      </c>
      <c r="B75" t="s">
        <v>25</v>
      </c>
      <c r="C75" t="s">
        <v>195</v>
      </c>
      <c r="D75">
        <v>5</v>
      </c>
      <c r="E75" s="18" t="s">
        <v>200</v>
      </c>
    </row>
    <row r="76" spans="1:5" hidden="1" x14ac:dyDescent="0.3">
      <c r="A76" t="s">
        <v>24</v>
      </c>
      <c r="B76" t="s">
        <v>25</v>
      </c>
      <c r="C76" t="s">
        <v>196</v>
      </c>
      <c r="D76">
        <v>4</v>
      </c>
      <c r="E76" s="18">
        <f>ROUND(AVERAGE(D74:D76),2)</f>
        <v>4.67</v>
      </c>
    </row>
    <row r="77" spans="1:5" hidden="1" x14ac:dyDescent="0.3">
      <c r="A77" t="s">
        <v>24</v>
      </c>
      <c r="B77" t="s">
        <v>25</v>
      </c>
      <c r="C77" t="s">
        <v>197</v>
      </c>
      <c r="D77">
        <v>3</v>
      </c>
      <c r="E77" s="18">
        <f t="shared" ref="E77:E79" si="10">ROUND(AVERAGE(D75:D77),2)</f>
        <v>4</v>
      </c>
    </row>
    <row r="78" spans="1:5" hidden="1" x14ac:dyDescent="0.3">
      <c r="A78" t="s">
        <v>24</v>
      </c>
      <c r="B78" t="s">
        <v>25</v>
      </c>
      <c r="C78" t="s">
        <v>198</v>
      </c>
      <c r="D78">
        <v>6</v>
      </c>
      <c r="E78" s="18">
        <f t="shared" si="10"/>
        <v>4.33</v>
      </c>
    </row>
    <row r="79" spans="1:5" hidden="1" x14ac:dyDescent="0.3">
      <c r="A79" t="s">
        <v>24</v>
      </c>
      <c r="B79" t="s">
        <v>25</v>
      </c>
      <c r="C79" t="s">
        <v>199</v>
      </c>
      <c r="D79">
        <v>7</v>
      </c>
      <c r="E79" s="18">
        <f t="shared" si="10"/>
        <v>5.33</v>
      </c>
    </row>
    <row r="80" spans="1:5" hidden="1" x14ac:dyDescent="0.3"/>
    <row r="81" spans="1:5" hidden="1" x14ac:dyDescent="0.3">
      <c r="A81" t="s">
        <v>32</v>
      </c>
      <c r="B81" t="s">
        <v>42</v>
      </c>
      <c r="C81" t="s">
        <v>194</v>
      </c>
      <c r="D81">
        <v>2</v>
      </c>
      <c r="E81" s="18" t="s">
        <v>200</v>
      </c>
    </row>
    <row r="82" spans="1:5" hidden="1" x14ac:dyDescent="0.3">
      <c r="A82" t="s">
        <v>32</v>
      </c>
      <c r="B82" t="s">
        <v>42</v>
      </c>
      <c r="C82" t="s">
        <v>195</v>
      </c>
      <c r="D82">
        <v>2</v>
      </c>
      <c r="E82" s="18" t="s">
        <v>200</v>
      </c>
    </row>
    <row r="83" spans="1:5" hidden="1" x14ac:dyDescent="0.3">
      <c r="A83" t="s">
        <v>32</v>
      </c>
      <c r="B83" t="s">
        <v>42</v>
      </c>
      <c r="C83" t="s">
        <v>196</v>
      </c>
      <c r="D83">
        <v>3</v>
      </c>
      <c r="E83" s="18">
        <f>ROUND(AVERAGE(D81:D83),2)</f>
        <v>2.33</v>
      </c>
    </row>
    <row r="84" spans="1:5" hidden="1" x14ac:dyDescent="0.3">
      <c r="A84" t="s">
        <v>32</v>
      </c>
      <c r="B84" t="s">
        <v>42</v>
      </c>
      <c r="C84" t="s">
        <v>197</v>
      </c>
      <c r="D84">
        <v>2</v>
      </c>
      <c r="E84" s="18">
        <f t="shared" ref="E84:E86" si="11">ROUND(AVERAGE(D82:D84),2)</f>
        <v>2.33</v>
      </c>
    </row>
    <row r="85" spans="1:5" hidden="1" x14ac:dyDescent="0.3">
      <c r="A85" t="s">
        <v>32</v>
      </c>
      <c r="B85" t="s">
        <v>42</v>
      </c>
      <c r="C85" t="s">
        <v>198</v>
      </c>
      <c r="D85">
        <v>3</v>
      </c>
      <c r="E85" s="18">
        <f t="shared" si="11"/>
        <v>2.67</v>
      </c>
    </row>
    <row r="86" spans="1:5" hidden="1" x14ac:dyDescent="0.3">
      <c r="A86" t="s">
        <v>32</v>
      </c>
      <c r="B86" t="s">
        <v>42</v>
      </c>
      <c r="C86" t="s">
        <v>199</v>
      </c>
      <c r="D86">
        <v>3</v>
      </c>
      <c r="E86" s="18">
        <f t="shared" si="11"/>
        <v>2.67</v>
      </c>
    </row>
    <row r="87" spans="1:5" x14ac:dyDescent="0.3">
      <c r="A87" t="s">
        <v>64</v>
      </c>
      <c r="B87" t="s">
        <v>111</v>
      </c>
      <c r="C87" t="s">
        <v>204</v>
      </c>
      <c r="E87">
        <f>ROUND(AVERAGE(D7:D9),2)</f>
        <v>10</v>
      </c>
    </row>
    <row r="102" spans="7:8" x14ac:dyDescent="0.3">
      <c r="G102" s="28" t="s">
        <v>234</v>
      </c>
      <c r="H102" s="28"/>
    </row>
    <row r="104" spans="7:8" x14ac:dyDescent="0.3">
      <c r="G104" t="s">
        <v>211</v>
      </c>
    </row>
    <row r="106" spans="7:8" x14ac:dyDescent="0.3">
      <c r="G106" t="s">
        <v>212</v>
      </c>
    </row>
    <row r="108" spans="7:8" x14ac:dyDescent="0.3">
      <c r="G108" t="s">
        <v>213</v>
      </c>
    </row>
    <row r="110" spans="7:8" x14ac:dyDescent="0.3">
      <c r="G110" s="28" t="s">
        <v>189</v>
      </c>
      <c r="H110" s="28"/>
    </row>
    <row r="112" spans="7:8" x14ac:dyDescent="0.3">
      <c r="G112" t="s">
        <v>236</v>
      </c>
    </row>
  </sheetData>
  <autoFilter ref="A3:E86" xr:uid="{3A14E454-D2D6-425F-B27B-8A87969FBE2D}">
    <filterColumn colId="1">
      <filters>
        <filter val="Potatoes"/>
      </filters>
    </filterColumn>
  </autoFilter>
  <mergeCells count="9">
    <mergeCell ref="G102:H102"/>
    <mergeCell ref="G110:H110"/>
    <mergeCell ref="A1:P1"/>
    <mergeCell ref="H4:I4"/>
    <mergeCell ref="H5:I5"/>
    <mergeCell ref="J4:K4"/>
    <mergeCell ref="L4:M4"/>
    <mergeCell ref="L5:M5"/>
    <mergeCell ref="J5:K5"/>
  </mergeCells>
  <phoneticPr fontId="2" type="noConversion"/>
  <conditionalFormatting sqref="D3:D1048576">
    <cfRule type="colorScale" priority="1">
      <colorScale>
        <cfvo type="min"/>
        <cfvo type="max"/>
        <color rgb="FFFF3300"/>
        <color rgb="FF00CC00"/>
      </colorScale>
    </cfRule>
  </conditionalFormatting>
  <pageMargins left="0.7" right="0.7" top="0.75" bottom="0.75" header="0.3" footer="0.3"/>
  <ignoredErrors>
    <ignoredError sqref="E6:E9 E13:E16 E20:E23 E27:E30 E34:E37 E41:E44 E48:E51 E55:E58 E62:E65 E69:E72 E76:E79 E83:E86" formulaRange="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F68BC-A720-450C-B9BE-944D3F92623C}">
  <dimension ref="A1:U46"/>
  <sheetViews>
    <sheetView showGridLines="0" workbookViewId="0">
      <selection sqref="A1:U1"/>
    </sheetView>
  </sheetViews>
  <sheetFormatPr defaultRowHeight="14.4" x14ac:dyDescent="0.3"/>
  <cols>
    <col min="1" max="1" width="14.6640625" bestFit="1" customWidth="1"/>
    <col min="2" max="2" width="15.5546875" bestFit="1" customWidth="1"/>
    <col min="3" max="3" width="9.33203125" bestFit="1" customWidth="1"/>
    <col min="4" max="4" width="10.21875" bestFit="1" customWidth="1"/>
    <col min="5" max="5" width="13.109375" bestFit="1" customWidth="1"/>
    <col min="6" max="6" width="6.88671875" bestFit="1" customWidth="1"/>
    <col min="7" max="7" width="8.44140625" bestFit="1" customWidth="1"/>
    <col min="8" max="8" width="10.77734375" bestFit="1" customWidth="1"/>
    <col min="9" max="9" width="10.21875" bestFit="1" customWidth="1"/>
    <col min="10" max="10" width="13.109375" bestFit="1" customWidth="1"/>
    <col min="11" max="11" width="6.88671875" bestFit="1" customWidth="1"/>
    <col min="12" max="12" width="8.44140625" bestFit="1" customWidth="1"/>
    <col min="13" max="13" width="5.21875" bestFit="1" customWidth="1"/>
    <col min="14" max="15" width="10.77734375" bestFit="1" customWidth="1"/>
  </cols>
  <sheetData>
    <row r="1" spans="1:21" ht="18" x14ac:dyDescent="0.35">
      <c r="A1" s="32" t="s">
        <v>223</v>
      </c>
      <c r="B1" s="37"/>
      <c r="C1" s="37"/>
      <c r="D1" s="37"/>
      <c r="E1" s="37"/>
      <c r="F1" s="37"/>
      <c r="G1" s="37"/>
      <c r="H1" s="37"/>
      <c r="I1" s="37"/>
      <c r="J1" s="37"/>
      <c r="K1" s="37"/>
      <c r="L1" s="37"/>
      <c r="M1" s="37"/>
      <c r="N1" s="37"/>
      <c r="O1" s="37"/>
      <c r="P1" s="37"/>
      <c r="Q1" s="37"/>
      <c r="R1" s="37"/>
      <c r="S1" s="37"/>
      <c r="T1" s="37"/>
      <c r="U1" s="37"/>
    </row>
    <row r="3" spans="1:21" x14ac:dyDescent="0.3">
      <c r="A3" s="2" t="s">
        <v>203</v>
      </c>
      <c r="B3" s="2" t="s">
        <v>202</v>
      </c>
      <c r="J3" s="38" t="s">
        <v>214</v>
      </c>
      <c r="K3" s="38"/>
      <c r="L3" s="38" t="s">
        <v>215</v>
      </c>
      <c r="M3" s="38"/>
      <c r="N3" s="38" t="s">
        <v>216</v>
      </c>
      <c r="O3" s="38"/>
      <c r="P3" s="38" t="s">
        <v>217</v>
      </c>
      <c r="Q3" s="38"/>
      <c r="R3" s="38"/>
    </row>
    <row r="4" spans="1:21" x14ac:dyDescent="0.3">
      <c r="A4" s="2" t="s">
        <v>201</v>
      </c>
      <c r="B4" t="s">
        <v>23</v>
      </c>
      <c r="C4" t="s">
        <v>77</v>
      </c>
      <c r="D4" t="s">
        <v>171</v>
      </c>
      <c r="E4" t="s">
        <v>50</v>
      </c>
      <c r="F4" t="s">
        <v>114</v>
      </c>
      <c r="G4" t="s">
        <v>111</v>
      </c>
      <c r="H4" t="s">
        <v>165</v>
      </c>
      <c r="J4" s="38">
        <v>6</v>
      </c>
      <c r="K4" s="38"/>
      <c r="L4" s="38">
        <v>490</v>
      </c>
      <c r="M4" s="38"/>
      <c r="N4" s="38" t="s">
        <v>222</v>
      </c>
      <c r="O4" s="38"/>
      <c r="P4" s="38">
        <f>ROUND((490/6),2)</f>
        <v>81.67</v>
      </c>
      <c r="Q4" s="38"/>
      <c r="R4" s="38"/>
    </row>
    <row r="5" spans="1:21" x14ac:dyDescent="0.3">
      <c r="A5" s="3" t="s">
        <v>194</v>
      </c>
      <c r="B5">
        <v>15</v>
      </c>
      <c r="C5">
        <v>20</v>
      </c>
      <c r="D5">
        <v>10</v>
      </c>
      <c r="E5">
        <v>15</v>
      </c>
      <c r="F5">
        <v>30</v>
      </c>
      <c r="G5">
        <v>25</v>
      </c>
      <c r="H5">
        <v>115</v>
      </c>
    </row>
    <row r="6" spans="1:21" x14ac:dyDescent="0.3">
      <c r="A6" s="3" t="s">
        <v>195</v>
      </c>
      <c r="B6">
        <v>10</v>
      </c>
      <c r="C6">
        <v>10</v>
      </c>
      <c r="D6">
        <v>20</v>
      </c>
      <c r="E6">
        <v>25</v>
      </c>
      <c r="F6">
        <v>15</v>
      </c>
      <c r="G6">
        <v>20</v>
      </c>
      <c r="H6">
        <v>100</v>
      </c>
    </row>
    <row r="7" spans="1:21" x14ac:dyDescent="0.3">
      <c r="A7" s="3" t="s">
        <v>196</v>
      </c>
      <c r="B7">
        <v>10</v>
      </c>
      <c r="C7">
        <v>15</v>
      </c>
      <c r="D7">
        <v>25</v>
      </c>
      <c r="E7">
        <v>5</v>
      </c>
      <c r="F7">
        <v>15</v>
      </c>
      <c r="G7">
        <v>20</v>
      </c>
      <c r="H7">
        <v>90</v>
      </c>
    </row>
    <row r="8" spans="1:21" x14ac:dyDescent="0.3">
      <c r="A8" s="3" t="s">
        <v>197</v>
      </c>
      <c r="B8">
        <v>15</v>
      </c>
      <c r="C8">
        <v>15</v>
      </c>
      <c r="D8">
        <v>10</v>
      </c>
      <c r="E8">
        <v>15</v>
      </c>
      <c r="F8">
        <v>10</v>
      </c>
      <c r="G8">
        <v>10</v>
      </c>
      <c r="H8">
        <v>75</v>
      </c>
    </row>
    <row r="9" spans="1:21" x14ac:dyDescent="0.3">
      <c r="A9" s="3" t="s">
        <v>198</v>
      </c>
      <c r="B9">
        <v>10</v>
      </c>
      <c r="C9">
        <v>10</v>
      </c>
      <c r="D9">
        <v>5</v>
      </c>
      <c r="E9">
        <v>5</v>
      </c>
      <c r="F9">
        <v>15</v>
      </c>
      <c r="G9">
        <v>10</v>
      </c>
      <c r="H9">
        <v>55</v>
      </c>
    </row>
    <row r="10" spans="1:21" x14ac:dyDescent="0.3">
      <c r="A10" s="3" t="s">
        <v>199</v>
      </c>
      <c r="B10">
        <v>10</v>
      </c>
      <c r="C10">
        <v>10</v>
      </c>
      <c r="D10">
        <v>10</v>
      </c>
      <c r="E10">
        <v>10</v>
      </c>
      <c r="F10">
        <v>5</v>
      </c>
      <c r="G10">
        <v>10</v>
      </c>
      <c r="H10">
        <v>55</v>
      </c>
    </row>
    <row r="11" spans="1:21" x14ac:dyDescent="0.3">
      <c r="A11" s="3" t="s">
        <v>165</v>
      </c>
      <c r="B11">
        <v>70</v>
      </c>
      <c r="C11">
        <v>80</v>
      </c>
      <c r="D11">
        <v>80</v>
      </c>
      <c r="E11">
        <v>75</v>
      </c>
      <c r="F11">
        <v>90</v>
      </c>
      <c r="G11">
        <v>95</v>
      </c>
      <c r="H11">
        <v>490</v>
      </c>
    </row>
    <row r="33" spans="2:3" x14ac:dyDescent="0.3">
      <c r="B33" s="17" t="s">
        <v>234</v>
      </c>
      <c r="C33" s="17"/>
    </row>
    <row r="35" spans="2:3" x14ac:dyDescent="0.3">
      <c r="B35" t="s">
        <v>218</v>
      </c>
    </row>
    <row r="37" spans="2:3" x14ac:dyDescent="0.3">
      <c r="B37" t="s">
        <v>219</v>
      </c>
    </row>
    <row r="39" spans="2:3" x14ac:dyDescent="0.3">
      <c r="B39" t="s">
        <v>220</v>
      </c>
    </row>
    <row r="41" spans="2:3" x14ac:dyDescent="0.3">
      <c r="B41" t="s">
        <v>221</v>
      </c>
    </row>
    <row r="43" spans="2:3" x14ac:dyDescent="0.3">
      <c r="B43" s="28"/>
      <c r="C43" s="28"/>
    </row>
    <row r="44" spans="2:3" x14ac:dyDescent="0.3">
      <c r="B44" s="28" t="s">
        <v>189</v>
      </c>
      <c r="C44" s="28"/>
    </row>
    <row r="46" spans="2:3" x14ac:dyDescent="0.3">
      <c r="B46" t="s">
        <v>235</v>
      </c>
    </row>
  </sheetData>
  <mergeCells count="11">
    <mergeCell ref="A1:U1"/>
    <mergeCell ref="B43:C43"/>
    <mergeCell ref="B44:C44"/>
    <mergeCell ref="J3:K3"/>
    <mergeCell ref="L3:M3"/>
    <mergeCell ref="N3:O3"/>
    <mergeCell ref="P3:R3"/>
    <mergeCell ref="J4:K4"/>
    <mergeCell ref="L4:M4"/>
    <mergeCell ref="N4:O4"/>
    <mergeCell ref="P4:R4"/>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
  <sheetViews>
    <sheetView topLeftCell="C1" workbookViewId="0">
      <pane ySplit="1" topLeftCell="A2" activePane="bottomLeft" state="frozen"/>
      <selection pane="bottomLeft" activeCell="M2" sqref="M2"/>
    </sheetView>
  </sheetViews>
  <sheetFormatPr defaultRowHeight="14.4" x14ac:dyDescent="0.3"/>
  <cols>
    <col min="2" max="2" width="14" bestFit="1" customWidth="1"/>
    <col min="3" max="3" width="12.21875" bestFit="1" customWidth="1"/>
    <col min="4" max="4" width="16.109375" bestFit="1" customWidth="1"/>
    <col min="5" max="5" width="7.77734375" bestFit="1" customWidth="1"/>
    <col min="6" max="6" width="9.21875" bestFit="1" customWidth="1"/>
    <col min="7" max="8" width="12.44140625" bestFit="1" customWidth="1"/>
    <col min="9" max="9" width="24.5546875" bestFit="1" customWidth="1"/>
    <col min="10" max="10" width="11.33203125" bestFit="1" customWidth="1"/>
    <col min="12" max="12" width="16.77734375" bestFit="1" customWidth="1"/>
    <col min="14" max="14" width="18.6640625" bestFit="1" customWidth="1"/>
    <col min="17" max="17" width="12.21875" bestFit="1" customWidth="1"/>
  </cols>
  <sheetData>
    <row r="1" spans="1:14" x14ac:dyDescent="0.3">
      <c r="A1" s="1" t="s">
        <v>0</v>
      </c>
      <c r="B1" s="1" t="s">
        <v>1</v>
      </c>
      <c r="C1" s="1" t="s">
        <v>2</v>
      </c>
      <c r="D1" s="1" t="s">
        <v>83</v>
      </c>
      <c r="E1" s="1" t="s">
        <v>3</v>
      </c>
      <c r="F1" s="1" t="s">
        <v>4</v>
      </c>
      <c r="G1" s="1" t="s">
        <v>5</v>
      </c>
      <c r="H1" s="1" t="s">
        <v>6</v>
      </c>
      <c r="I1" s="1" t="s">
        <v>7</v>
      </c>
      <c r="J1" s="1" t="s">
        <v>160</v>
      </c>
      <c r="K1" s="1" t="s">
        <v>161</v>
      </c>
      <c r="L1" s="1" t="s">
        <v>163</v>
      </c>
      <c r="M1" s="1" t="s">
        <v>162</v>
      </c>
      <c r="N1" s="1" t="s">
        <v>164</v>
      </c>
    </row>
    <row r="2" spans="1:14" x14ac:dyDescent="0.3">
      <c r="A2" t="s">
        <v>8</v>
      </c>
      <c r="B2" t="s">
        <v>84</v>
      </c>
      <c r="C2" t="s">
        <v>9</v>
      </c>
      <c r="D2" t="s">
        <v>85</v>
      </c>
      <c r="E2">
        <v>100</v>
      </c>
      <c r="F2">
        <v>20</v>
      </c>
      <c r="G2">
        <f t="shared" ref="G2:G34" si="0">E2-F2</f>
        <v>80</v>
      </c>
      <c r="H2">
        <v>30</v>
      </c>
      <c r="I2" t="s">
        <v>132</v>
      </c>
      <c r="J2" t="str">
        <f>IF(G2&lt;H2, "Reorder","OK")</f>
        <v>OK</v>
      </c>
      <c r="K2">
        <f>F2/G2</f>
        <v>0.25</v>
      </c>
      <c r="L2" t="str">
        <f>IF(K2&gt;1.5,"Fast",IF(K2&gt;=1,"Moderate","Slow"))</f>
        <v>Slow</v>
      </c>
      <c r="M2">
        <f>G2-H2</f>
        <v>50</v>
      </c>
      <c r="N2" t="str">
        <f>IF(M2&lt;0,"Critical",IF(M2&lt;10,"Low Buffer","Safe"))</f>
        <v>Safe</v>
      </c>
    </row>
    <row r="3" spans="1:14" x14ac:dyDescent="0.3">
      <c r="A3" t="s">
        <v>10</v>
      </c>
      <c r="B3" t="s">
        <v>11</v>
      </c>
      <c r="C3" t="s">
        <v>12</v>
      </c>
      <c r="D3" t="s">
        <v>89</v>
      </c>
      <c r="E3">
        <v>50</v>
      </c>
      <c r="F3">
        <v>10</v>
      </c>
      <c r="G3">
        <f t="shared" si="0"/>
        <v>40</v>
      </c>
      <c r="H3">
        <v>15</v>
      </c>
      <c r="I3" t="s">
        <v>152</v>
      </c>
      <c r="J3" t="str">
        <f t="shared" ref="J3:J41" si="1">IF(G3&lt;H3, "Reorder","OK")</f>
        <v>OK</v>
      </c>
      <c r="K3">
        <f t="shared" ref="K3:K41" si="2">F3/G3</f>
        <v>0.25</v>
      </c>
      <c r="L3" t="str">
        <f t="shared" ref="L3:L4" si="3">IF(K3&gt;1.5,"Fast",IF(K3&gt;=1,"Moderate","Slow"))</f>
        <v>Slow</v>
      </c>
      <c r="M3">
        <f t="shared" ref="M3:M41" si="4">G3-H3</f>
        <v>25</v>
      </c>
      <c r="N3" t="str">
        <f t="shared" ref="N3:N41" si="5">IF(M3&lt;0,"Critical",IF(M3&lt;10,"Low Buffer","Safe"))</f>
        <v>Safe</v>
      </c>
    </row>
    <row r="4" spans="1:14" x14ac:dyDescent="0.3">
      <c r="A4" t="s">
        <v>13</v>
      </c>
      <c r="B4" t="s">
        <v>14</v>
      </c>
      <c r="C4" t="s">
        <v>15</v>
      </c>
      <c r="D4" t="s">
        <v>97</v>
      </c>
      <c r="E4">
        <v>80</v>
      </c>
      <c r="F4">
        <v>25</v>
      </c>
      <c r="G4">
        <f t="shared" si="0"/>
        <v>55</v>
      </c>
      <c r="H4">
        <v>20</v>
      </c>
      <c r="I4" t="s">
        <v>149</v>
      </c>
      <c r="J4" t="str">
        <f t="shared" si="1"/>
        <v>OK</v>
      </c>
      <c r="K4">
        <f t="shared" si="2"/>
        <v>0.45454545454545453</v>
      </c>
      <c r="L4" t="str">
        <f t="shared" si="3"/>
        <v>Slow</v>
      </c>
      <c r="M4">
        <f t="shared" si="4"/>
        <v>35</v>
      </c>
      <c r="N4" t="str">
        <f t="shared" si="5"/>
        <v>Safe</v>
      </c>
    </row>
    <row r="5" spans="1:14" x14ac:dyDescent="0.3">
      <c r="A5" t="s">
        <v>16</v>
      </c>
      <c r="B5" t="s">
        <v>17</v>
      </c>
      <c r="C5" t="s">
        <v>18</v>
      </c>
      <c r="D5" t="s">
        <v>100</v>
      </c>
      <c r="E5">
        <v>60</v>
      </c>
      <c r="F5">
        <v>50</v>
      </c>
      <c r="G5">
        <f t="shared" si="0"/>
        <v>10</v>
      </c>
      <c r="H5">
        <v>20</v>
      </c>
      <c r="I5" t="s">
        <v>137</v>
      </c>
      <c r="J5" t="str">
        <f t="shared" si="1"/>
        <v>Reorder</v>
      </c>
      <c r="K5">
        <f t="shared" si="2"/>
        <v>5</v>
      </c>
      <c r="L5" t="str">
        <f>IF(K5&gt;1.5,"Fast",IF(K5&gt;=1,"Moderate","Slow"))</f>
        <v>Fast</v>
      </c>
      <c r="M5">
        <f t="shared" si="4"/>
        <v>-10</v>
      </c>
      <c r="N5" t="str">
        <f t="shared" si="5"/>
        <v>Critical</v>
      </c>
    </row>
    <row r="6" spans="1:14" x14ac:dyDescent="0.3">
      <c r="A6" t="s">
        <v>19</v>
      </c>
      <c r="B6" t="s">
        <v>20</v>
      </c>
      <c r="C6" t="s">
        <v>21</v>
      </c>
      <c r="D6" t="s">
        <v>98</v>
      </c>
      <c r="E6">
        <v>40</v>
      </c>
      <c r="F6">
        <v>35</v>
      </c>
      <c r="G6">
        <f t="shared" si="0"/>
        <v>5</v>
      </c>
      <c r="H6">
        <v>10</v>
      </c>
      <c r="I6" t="s">
        <v>146</v>
      </c>
      <c r="J6" t="str">
        <f t="shared" si="1"/>
        <v>Reorder</v>
      </c>
      <c r="K6">
        <f t="shared" si="2"/>
        <v>7</v>
      </c>
      <c r="L6" t="str">
        <f t="shared" ref="L6:L41" si="6">IF(K6&gt;1.5,"Fast",IF(K6&gt;=1,"Moderate","Slow"))</f>
        <v>Fast</v>
      </c>
      <c r="M6">
        <f t="shared" si="4"/>
        <v>-5</v>
      </c>
      <c r="N6" t="str">
        <f t="shared" si="5"/>
        <v>Critical</v>
      </c>
    </row>
    <row r="7" spans="1:14" x14ac:dyDescent="0.3">
      <c r="A7" t="s">
        <v>22</v>
      </c>
      <c r="B7" t="s">
        <v>23</v>
      </c>
      <c r="C7" t="s">
        <v>18</v>
      </c>
      <c r="D7" t="s">
        <v>104</v>
      </c>
      <c r="E7">
        <v>100</v>
      </c>
      <c r="F7">
        <v>70</v>
      </c>
      <c r="G7">
        <f t="shared" si="0"/>
        <v>30</v>
      </c>
      <c r="H7">
        <v>30</v>
      </c>
      <c r="I7" t="s">
        <v>139</v>
      </c>
      <c r="J7" t="str">
        <f t="shared" si="1"/>
        <v>OK</v>
      </c>
      <c r="K7">
        <f t="shared" si="2"/>
        <v>2.3333333333333335</v>
      </c>
      <c r="L7" t="str">
        <f t="shared" si="6"/>
        <v>Fast</v>
      </c>
      <c r="M7">
        <f t="shared" si="4"/>
        <v>0</v>
      </c>
      <c r="N7" t="str">
        <f t="shared" si="5"/>
        <v>Low Buffer</v>
      </c>
    </row>
    <row r="8" spans="1:14" x14ac:dyDescent="0.3">
      <c r="A8" t="s">
        <v>24</v>
      </c>
      <c r="B8" t="s">
        <v>25</v>
      </c>
      <c r="C8" t="s">
        <v>12</v>
      </c>
      <c r="D8" t="s">
        <v>90</v>
      </c>
      <c r="E8">
        <v>70</v>
      </c>
      <c r="F8">
        <v>30</v>
      </c>
      <c r="G8">
        <f t="shared" si="0"/>
        <v>40</v>
      </c>
      <c r="H8">
        <v>25</v>
      </c>
      <c r="I8" t="s">
        <v>153</v>
      </c>
      <c r="J8" t="str">
        <f t="shared" si="1"/>
        <v>OK</v>
      </c>
      <c r="K8">
        <f t="shared" si="2"/>
        <v>0.75</v>
      </c>
      <c r="L8" t="str">
        <f t="shared" si="6"/>
        <v>Slow</v>
      </c>
      <c r="M8">
        <f t="shared" si="4"/>
        <v>15</v>
      </c>
      <c r="N8" t="str">
        <f t="shared" si="5"/>
        <v>Safe</v>
      </c>
    </row>
    <row r="9" spans="1:14" x14ac:dyDescent="0.3">
      <c r="A9" t="s">
        <v>26</v>
      </c>
      <c r="B9" t="s">
        <v>27</v>
      </c>
      <c r="C9" t="s">
        <v>15</v>
      </c>
      <c r="D9" t="s">
        <v>97</v>
      </c>
      <c r="E9">
        <v>90</v>
      </c>
      <c r="F9">
        <v>60</v>
      </c>
      <c r="G9">
        <f t="shared" si="0"/>
        <v>30</v>
      </c>
      <c r="H9">
        <v>30</v>
      </c>
      <c r="I9" t="s">
        <v>147</v>
      </c>
      <c r="J9" t="str">
        <f t="shared" si="1"/>
        <v>OK</v>
      </c>
      <c r="K9">
        <f t="shared" si="2"/>
        <v>2</v>
      </c>
      <c r="L9" t="str">
        <f t="shared" si="6"/>
        <v>Fast</v>
      </c>
      <c r="M9">
        <f t="shared" si="4"/>
        <v>0</v>
      </c>
      <c r="N9" t="str">
        <f t="shared" si="5"/>
        <v>Low Buffer</v>
      </c>
    </row>
    <row r="10" spans="1:14" x14ac:dyDescent="0.3">
      <c r="A10" t="s">
        <v>28</v>
      </c>
      <c r="B10" t="s">
        <v>77</v>
      </c>
      <c r="C10" t="s">
        <v>29</v>
      </c>
      <c r="D10" t="s">
        <v>96</v>
      </c>
      <c r="E10">
        <v>120</v>
      </c>
      <c r="F10">
        <v>80</v>
      </c>
      <c r="G10">
        <f t="shared" si="0"/>
        <v>40</v>
      </c>
      <c r="H10">
        <v>40</v>
      </c>
      <c r="I10" t="s">
        <v>140</v>
      </c>
      <c r="J10" t="str">
        <f t="shared" si="1"/>
        <v>OK</v>
      </c>
      <c r="K10">
        <f t="shared" si="2"/>
        <v>2</v>
      </c>
      <c r="L10" t="str">
        <f t="shared" si="6"/>
        <v>Fast</v>
      </c>
      <c r="M10">
        <f t="shared" si="4"/>
        <v>0</v>
      </c>
      <c r="N10" t="str">
        <f t="shared" si="5"/>
        <v>Low Buffer</v>
      </c>
    </row>
    <row r="11" spans="1:14" x14ac:dyDescent="0.3">
      <c r="A11" t="s">
        <v>30</v>
      </c>
      <c r="B11" t="s">
        <v>51</v>
      </c>
      <c r="C11" t="s">
        <v>9</v>
      </c>
      <c r="D11" t="s">
        <v>105</v>
      </c>
      <c r="E11">
        <v>50</v>
      </c>
      <c r="F11">
        <v>15</v>
      </c>
      <c r="G11">
        <f t="shared" si="0"/>
        <v>35</v>
      </c>
      <c r="H11">
        <v>20</v>
      </c>
      <c r="I11" t="s">
        <v>143</v>
      </c>
      <c r="J11" t="str">
        <f t="shared" si="1"/>
        <v>OK</v>
      </c>
      <c r="K11">
        <f t="shared" si="2"/>
        <v>0.42857142857142855</v>
      </c>
      <c r="L11" t="str">
        <f t="shared" si="6"/>
        <v>Slow</v>
      </c>
      <c r="M11">
        <f t="shared" si="4"/>
        <v>15</v>
      </c>
      <c r="N11" t="str">
        <f t="shared" si="5"/>
        <v>Safe</v>
      </c>
    </row>
    <row r="12" spans="1:14" x14ac:dyDescent="0.3">
      <c r="A12" t="s">
        <v>31</v>
      </c>
      <c r="B12" t="s">
        <v>41</v>
      </c>
      <c r="C12" t="s">
        <v>9</v>
      </c>
      <c r="D12" t="s">
        <v>86</v>
      </c>
      <c r="E12">
        <v>80</v>
      </c>
      <c r="F12">
        <v>20</v>
      </c>
      <c r="G12">
        <f t="shared" si="0"/>
        <v>60</v>
      </c>
      <c r="H12">
        <v>30</v>
      </c>
      <c r="I12" t="s">
        <v>132</v>
      </c>
      <c r="J12" t="str">
        <f t="shared" si="1"/>
        <v>OK</v>
      </c>
      <c r="K12">
        <f t="shared" si="2"/>
        <v>0.33333333333333331</v>
      </c>
      <c r="L12" t="str">
        <f t="shared" si="6"/>
        <v>Slow</v>
      </c>
      <c r="M12">
        <f t="shared" si="4"/>
        <v>30</v>
      </c>
      <c r="N12" t="str">
        <f t="shared" si="5"/>
        <v>Safe</v>
      </c>
    </row>
    <row r="13" spans="1:14" x14ac:dyDescent="0.3">
      <c r="A13" t="s">
        <v>32</v>
      </c>
      <c r="B13" t="s">
        <v>42</v>
      </c>
      <c r="C13" t="s">
        <v>9</v>
      </c>
      <c r="D13" t="s">
        <v>87</v>
      </c>
      <c r="E13">
        <v>60</v>
      </c>
      <c r="F13">
        <v>15</v>
      </c>
      <c r="G13">
        <f t="shared" si="0"/>
        <v>45</v>
      </c>
      <c r="H13">
        <v>20</v>
      </c>
      <c r="I13" t="s">
        <v>132</v>
      </c>
      <c r="J13" t="str">
        <f t="shared" si="1"/>
        <v>OK</v>
      </c>
      <c r="K13">
        <f t="shared" si="2"/>
        <v>0.33333333333333331</v>
      </c>
      <c r="L13" t="str">
        <f t="shared" si="6"/>
        <v>Slow</v>
      </c>
      <c r="M13">
        <f t="shared" si="4"/>
        <v>25</v>
      </c>
      <c r="N13" t="str">
        <f t="shared" si="5"/>
        <v>Safe</v>
      </c>
    </row>
    <row r="14" spans="1:14" x14ac:dyDescent="0.3">
      <c r="A14" t="s">
        <v>33</v>
      </c>
      <c r="B14" t="s">
        <v>44</v>
      </c>
      <c r="C14" t="s">
        <v>43</v>
      </c>
      <c r="D14" t="s">
        <v>106</v>
      </c>
      <c r="E14">
        <v>70</v>
      </c>
      <c r="F14">
        <v>20</v>
      </c>
      <c r="G14">
        <f t="shared" si="0"/>
        <v>50</v>
      </c>
      <c r="H14">
        <v>25</v>
      </c>
      <c r="I14" t="s">
        <v>135</v>
      </c>
      <c r="J14" t="str">
        <f t="shared" si="1"/>
        <v>OK</v>
      </c>
      <c r="K14">
        <f t="shared" si="2"/>
        <v>0.4</v>
      </c>
      <c r="L14" t="str">
        <f t="shared" si="6"/>
        <v>Slow</v>
      </c>
      <c r="M14">
        <f t="shared" si="4"/>
        <v>25</v>
      </c>
      <c r="N14" t="str">
        <f t="shared" si="5"/>
        <v>Safe</v>
      </c>
    </row>
    <row r="15" spans="1:14" x14ac:dyDescent="0.3">
      <c r="A15" t="s">
        <v>34</v>
      </c>
      <c r="B15" t="s">
        <v>45</v>
      </c>
      <c r="C15" t="s">
        <v>21</v>
      </c>
      <c r="D15" t="s">
        <v>97</v>
      </c>
      <c r="E15">
        <v>80</v>
      </c>
      <c r="F15">
        <v>30</v>
      </c>
      <c r="G15">
        <f t="shared" si="0"/>
        <v>50</v>
      </c>
      <c r="H15">
        <v>30</v>
      </c>
      <c r="I15" t="s">
        <v>149</v>
      </c>
      <c r="J15" t="str">
        <f t="shared" si="1"/>
        <v>OK</v>
      </c>
      <c r="K15">
        <f t="shared" si="2"/>
        <v>0.6</v>
      </c>
      <c r="L15" t="str">
        <f t="shared" si="6"/>
        <v>Slow</v>
      </c>
      <c r="M15">
        <f t="shared" si="4"/>
        <v>20</v>
      </c>
      <c r="N15" t="str">
        <f t="shared" si="5"/>
        <v>Safe</v>
      </c>
    </row>
    <row r="16" spans="1:14" x14ac:dyDescent="0.3">
      <c r="A16" t="s">
        <v>35</v>
      </c>
      <c r="B16" t="s">
        <v>46</v>
      </c>
      <c r="C16" t="s">
        <v>47</v>
      </c>
      <c r="D16" t="s">
        <v>169</v>
      </c>
      <c r="E16">
        <v>90</v>
      </c>
      <c r="F16">
        <v>50</v>
      </c>
      <c r="G16">
        <f t="shared" si="0"/>
        <v>40</v>
      </c>
      <c r="H16">
        <v>30</v>
      </c>
      <c r="I16" t="s">
        <v>159</v>
      </c>
      <c r="J16" t="str">
        <f t="shared" si="1"/>
        <v>OK</v>
      </c>
      <c r="K16">
        <f t="shared" si="2"/>
        <v>1.25</v>
      </c>
      <c r="L16" t="str">
        <f t="shared" si="6"/>
        <v>Moderate</v>
      </c>
      <c r="M16">
        <f t="shared" si="4"/>
        <v>10</v>
      </c>
      <c r="N16" t="str">
        <f t="shared" si="5"/>
        <v>Safe</v>
      </c>
    </row>
    <row r="17" spans="1:14" x14ac:dyDescent="0.3">
      <c r="A17" t="s">
        <v>36</v>
      </c>
      <c r="B17" t="s">
        <v>48</v>
      </c>
      <c r="C17" t="s">
        <v>49</v>
      </c>
      <c r="D17" t="s">
        <v>109</v>
      </c>
      <c r="E17">
        <v>100</v>
      </c>
      <c r="F17">
        <v>60</v>
      </c>
      <c r="G17">
        <f t="shared" si="0"/>
        <v>40</v>
      </c>
      <c r="H17">
        <v>20</v>
      </c>
      <c r="I17" t="s">
        <v>157</v>
      </c>
      <c r="J17" t="str">
        <f t="shared" si="1"/>
        <v>OK</v>
      </c>
      <c r="K17">
        <f t="shared" si="2"/>
        <v>1.5</v>
      </c>
      <c r="L17" t="str">
        <f t="shared" si="6"/>
        <v>Moderate</v>
      </c>
      <c r="M17">
        <f t="shared" si="4"/>
        <v>20</v>
      </c>
      <c r="N17" t="str">
        <f t="shared" si="5"/>
        <v>Safe</v>
      </c>
    </row>
    <row r="18" spans="1:14" x14ac:dyDescent="0.3">
      <c r="A18" t="s">
        <v>37</v>
      </c>
      <c r="B18" t="s">
        <v>50</v>
      </c>
      <c r="C18" t="s">
        <v>29</v>
      </c>
      <c r="D18" t="s">
        <v>95</v>
      </c>
      <c r="E18">
        <v>130</v>
      </c>
      <c r="F18">
        <v>75</v>
      </c>
      <c r="G18">
        <f t="shared" si="0"/>
        <v>55</v>
      </c>
      <c r="H18">
        <v>25</v>
      </c>
      <c r="I18" t="s">
        <v>141</v>
      </c>
      <c r="J18" t="str">
        <f t="shared" si="1"/>
        <v>OK</v>
      </c>
      <c r="K18">
        <f t="shared" si="2"/>
        <v>1.3636363636363635</v>
      </c>
      <c r="L18" t="str">
        <f t="shared" si="6"/>
        <v>Moderate</v>
      </c>
      <c r="M18">
        <f t="shared" si="4"/>
        <v>30</v>
      </c>
      <c r="N18" t="str">
        <f t="shared" si="5"/>
        <v>Safe</v>
      </c>
    </row>
    <row r="19" spans="1:14" x14ac:dyDescent="0.3">
      <c r="A19" t="s">
        <v>38</v>
      </c>
      <c r="B19" t="s">
        <v>52</v>
      </c>
      <c r="C19" t="s">
        <v>15</v>
      </c>
      <c r="D19" t="s">
        <v>99</v>
      </c>
      <c r="E19">
        <v>120</v>
      </c>
      <c r="F19">
        <v>60</v>
      </c>
      <c r="G19">
        <f t="shared" si="0"/>
        <v>60</v>
      </c>
      <c r="H19">
        <v>35</v>
      </c>
      <c r="I19" t="s">
        <v>148</v>
      </c>
      <c r="J19" t="str">
        <f t="shared" si="1"/>
        <v>OK</v>
      </c>
      <c r="K19">
        <f t="shared" si="2"/>
        <v>1</v>
      </c>
      <c r="L19" t="str">
        <f t="shared" si="6"/>
        <v>Moderate</v>
      </c>
      <c r="M19">
        <f t="shared" si="4"/>
        <v>25</v>
      </c>
      <c r="N19" t="str">
        <f t="shared" si="5"/>
        <v>Safe</v>
      </c>
    </row>
    <row r="20" spans="1:14" x14ac:dyDescent="0.3">
      <c r="A20" t="s">
        <v>39</v>
      </c>
      <c r="B20" t="s">
        <v>53</v>
      </c>
      <c r="C20" t="s">
        <v>43</v>
      </c>
      <c r="D20" t="s">
        <v>88</v>
      </c>
      <c r="E20">
        <v>150</v>
      </c>
      <c r="F20">
        <v>70</v>
      </c>
      <c r="G20">
        <f t="shared" si="0"/>
        <v>80</v>
      </c>
      <c r="H20">
        <v>40</v>
      </c>
      <c r="I20" t="s">
        <v>136</v>
      </c>
      <c r="J20" t="str">
        <f t="shared" si="1"/>
        <v>OK</v>
      </c>
      <c r="K20">
        <f t="shared" si="2"/>
        <v>0.875</v>
      </c>
      <c r="L20" t="str">
        <f t="shared" si="6"/>
        <v>Slow</v>
      </c>
      <c r="M20">
        <f t="shared" si="4"/>
        <v>40</v>
      </c>
      <c r="N20" t="str">
        <f t="shared" si="5"/>
        <v>Safe</v>
      </c>
    </row>
    <row r="21" spans="1:14" x14ac:dyDescent="0.3">
      <c r="A21" t="s">
        <v>40</v>
      </c>
      <c r="B21" t="s">
        <v>54</v>
      </c>
      <c r="C21" t="s">
        <v>18</v>
      </c>
      <c r="D21" t="s">
        <v>102</v>
      </c>
      <c r="E21">
        <v>140</v>
      </c>
      <c r="F21">
        <v>65</v>
      </c>
      <c r="G21">
        <f t="shared" si="0"/>
        <v>75</v>
      </c>
      <c r="H21">
        <v>30</v>
      </c>
      <c r="I21" t="s">
        <v>138</v>
      </c>
      <c r="J21" t="str">
        <f t="shared" si="1"/>
        <v>OK</v>
      </c>
      <c r="K21">
        <f t="shared" si="2"/>
        <v>0.8666666666666667</v>
      </c>
      <c r="L21" t="str">
        <f t="shared" si="6"/>
        <v>Slow</v>
      </c>
      <c r="M21">
        <f t="shared" si="4"/>
        <v>45</v>
      </c>
      <c r="N21" t="str">
        <f t="shared" si="5"/>
        <v>Safe</v>
      </c>
    </row>
    <row r="22" spans="1:14" x14ac:dyDescent="0.3">
      <c r="A22" t="s">
        <v>55</v>
      </c>
      <c r="B22" t="s">
        <v>171</v>
      </c>
      <c r="C22" t="s">
        <v>12</v>
      </c>
      <c r="D22" t="s">
        <v>108</v>
      </c>
      <c r="E22">
        <v>120</v>
      </c>
      <c r="F22">
        <v>80</v>
      </c>
      <c r="G22">
        <f t="shared" si="0"/>
        <v>40</v>
      </c>
      <c r="H22">
        <v>30</v>
      </c>
      <c r="I22" t="s">
        <v>153</v>
      </c>
      <c r="J22" t="str">
        <f t="shared" si="1"/>
        <v>OK</v>
      </c>
      <c r="K22">
        <f t="shared" si="2"/>
        <v>2</v>
      </c>
      <c r="L22" t="str">
        <f t="shared" si="6"/>
        <v>Fast</v>
      </c>
      <c r="M22">
        <f t="shared" si="4"/>
        <v>10</v>
      </c>
      <c r="N22" t="str">
        <f t="shared" si="5"/>
        <v>Safe</v>
      </c>
    </row>
    <row r="23" spans="1:14" x14ac:dyDescent="0.3">
      <c r="A23" t="s">
        <v>56</v>
      </c>
      <c r="B23" t="s">
        <v>75</v>
      </c>
      <c r="C23" t="s">
        <v>49</v>
      </c>
      <c r="D23" t="s">
        <v>93</v>
      </c>
      <c r="E23">
        <v>130</v>
      </c>
      <c r="F23">
        <v>70</v>
      </c>
      <c r="G23">
        <f t="shared" si="0"/>
        <v>60</v>
      </c>
      <c r="H23">
        <v>35</v>
      </c>
      <c r="I23" t="s">
        <v>154</v>
      </c>
      <c r="J23" t="str">
        <f t="shared" si="1"/>
        <v>OK</v>
      </c>
      <c r="K23">
        <f t="shared" si="2"/>
        <v>1.1666666666666667</v>
      </c>
      <c r="L23" t="str">
        <f t="shared" si="6"/>
        <v>Moderate</v>
      </c>
      <c r="M23">
        <f t="shared" si="4"/>
        <v>25</v>
      </c>
      <c r="N23" t="str">
        <f t="shared" si="5"/>
        <v>Safe</v>
      </c>
    </row>
    <row r="24" spans="1:14" x14ac:dyDescent="0.3">
      <c r="A24" t="s">
        <v>57</v>
      </c>
      <c r="B24" t="s">
        <v>92</v>
      </c>
      <c r="C24" t="s">
        <v>49</v>
      </c>
      <c r="D24" t="s">
        <v>94</v>
      </c>
      <c r="E24">
        <v>120</v>
      </c>
      <c r="F24">
        <v>60</v>
      </c>
      <c r="G24">
        <f t="shared" si="0"/>
        <v>60</v>
      </c>
      <c r="H24">
        <v>30</v>
      </c>
      <c r="I24" t="s">
        <v>158</v>
      </c>
      <c r="J24" t="str">
        <f t="shared" si="1"/>
        <v>OK</v>
      </c>
      <c r="K24">
        <f t="shared" si="2"/>
        <v>1</v>
      </c>
      <c r="L24" t="str">
        <f t="shared" si="6"/>
        <v>Moderate</v>
      </c>
      <c r="M24">
        <f t="shared" si="4"/>
        <v>30</v>
      </c>
      <c r="N24" t="str">
        <f t="shared" si="5"/>
        <v>Safe</v>
      </c>
    </row>
    <row r="25" spans="1:14" x14ac:dyDescent="0.3">
      <c r="A25" t="s">
        <v>58</v>
      </c>
      <c r="B25" t="s">
        <v>76</v>
      </c>
      <c r="C25" t="s">
        <v>49</v>
      </c>
      <c r="D25" t="s">
        <v>110</v>
      </c>
      <c r="E25">
        <v>110</v>
      </c>
      <c r="F25">
        <v>70</v>
      </c>
      <c r="G25">
        <f t="shared" si="0"/>
        <v>40</v>
      </c>
      <c r="H25">
        <v>30</v>
      </c>
      <c r="I25" t="s">
        <v>155</v>
      </c>
      <c r="J25" t="str">
        <f t="shared" si="1"/>
        <v>OK</v>
      </c>
      <c r="K25">
        <f t="shared" si="2"/>
        <v>1.75</v>
      </c>
      <c r="L25" t="str">
        <f t="shared" si="6"/>
        <v>Fast</v>
      </c>
      <c r="M25">
        <f t="shared" si="4"/>
        <v>10</v>
      </c>
      <c r="N25" t="str">
        <f t="shared" si="5"/>
        <v>Safe</v>
      </c>
    </row>
    <row r="26" spans="1:14" x14ac:dyDescent="0.3">
      <c r="A26" t="s">
        <v>59</v>
      </c>
      <c r="B26" t="s">
        <v>78</v>
      </c>
      <c r="C26" t="s">
        <v>29</v>
      </c>
      <c r="D26" t="s">
        <v>103</v>
      </c>
      <c r="E26">
        <v>130</v>
      </c>
      <c r="F26">
        <v>60</v>
      </c>
      <c r="G26">
        <f t="shared" si="0"/>
        <v>70</v>
      </c>
      <c r="H26">
        <v>30</v>
      </c>
      <c r="I26" t="s">
        <v>142</v>
      </c>
      <c r="J26" t="str">
        <f t="shared" si="1"/>
        <v>OK</v>
      </c>
      <c r="K26">
        <f t="shared" si="2"/>
        <v>0.8571428571428571</v>
      </c>
      <c r="L26" t="str">
        <f t="shared" si="6"/>
        <v>Slow</v>
      </c>
      <c r="M26">
        <f t="shared" si="4"/>
        <v>40</v>
      </c>
      <c r="N26" t="str">
        <f t="shared" si="5"/>
        <v>Safe</v>
      </c>
    </row>
    <row r="27" spans="1:14" x14ac:dyDescent="0.3">
      <c r="A27" t="s">
        <v>60</v>
      </c>
      <c r="B27" t="s">
        <v>79</v>
      </c>
      <c r="C27" t="s">
        <v>12</v>
      </c>
      <c r="D27" t="s">
        <v>91</v>
      </c>
      <c r="E27">
        <v>130</v>
      </c>
      <c r="F27">
        <v>50</v>
      </c>
      <c r="G27">
        <f t="shared" si="0"/>
        <v>80</v>
      </c>
      <c r="H27">
        <v>35</v>
      </c>
      <c r="I27" t="s">
        <v>151</v>
      </c>
      <c r="J27" t="str">
        <f t="shared" si="1"/>
        <v>OK</v>
      </c>
      <c r="K27">
        <f t="shared" si="2"/>
        <v>0.625</v>
      </c>
      <c r="L27" t="str">
        <f t="shared" si="6"/>
        <v>Slow</v>
      </c>
      <c r="M27">
        <f t="shared" si="4"/>
        <v>45</v>
      </c>
      <c r="N27" t="str">
        <f t="shared" si="5"/>
        <v>Safe</v>
      </c>
    </row>
    <row r="28" spans="1:14" x14ac:dyDescent="0.3">
      <c r="A28" t="s">
        <v>61</v>
      </c>
      <c r="B28" t="s">
        <v>80</v>
      </c>
      <c r="C28" t="s">
        <v>12</v>
      </c>
      <c r="D28" t="s">
        <v>107</v>
      </c>
      <c r="E28">
        <v>120</v>
      </c>
      <c r="F28">
        <v>55</v>
      </c>
      <c r="G28">
        <f t="shared" si="0"/>
        <v>65</v>
      </c>
      <c r="H28">
        <v>20</v>
      </c>
      <c r="I28" t="s">
        <v>150</v>
      </c>
      <c r="J28" t="str">
        <f t="shared" si="1"/>
        <v>OK</v>
      </c>
      <c r="K28">
        <f t="shared" si="2"/>
        <v>0.84615384615384615</v>
      </c>
      <c r="L28" t="str">
        <f t="shared" si="6"/>
        <v>Slow</v>
      </c>
      <c r="M28">
        <f t="shared" si="4"/>
        <v>45</v>
      </c>
      <c r="N28" t="str">
        <f t="shared" si="5"/>
        <v>Safe</v>
      </c>
    </row>
    <row r="29" spans="1:14" x14ac:dyDescent="0.3">
      <c r="A29" t="s">
        <v>62</v>
      </c>
      <c r="B29" t="s">
        <v>81</v>
      </c>
      <c r="C29" t="s">
        <v>21</v>
      </c>
      <c r="D29" t="s">
        <v>101</v>
      </c>
      <c r="E29">
        <v>110</v>
      </c>
      <c r="F29">
        <v>40</v>
      </c>
      <c r="G29">
        <f t="shared" si="0"/>
        <v>70</v>
      </c>
      <c r="H29">
        <v>15</v>
      </c>
      <c r="I29" t="s">
        <v>146</v>
      </c>
      <c r="J29" t="str">
        <f t="shared" si="1"/>
        <v>OK</v>
      </c>
      <c r="K29">
        <f t="shared" si="2"/>
        <v>0.5714285714285714</v>
      </c>
      <c r="L29" t="str">
        <f t="shared" si="6"/>
        <v>Slow</v>
      </c>
      <c r="M29">
        <f t="shared" si="4"/>
        <v>55</v>
      </c>
      <c r="N29" t="str">
        <f t="shared" si="5"/>
        <v>Safe</v>
      </c>
    </row>
    <row r="30" spans="1:14" x14ac:dyDescent="0.3">
      <c r="A30" t="s">
        <v>63</v>
      </c>
      <c r="B30" t="s">
        <v>82</v>
      </c>
      <c r="C30" t="s">
        <v>18</v>
      </c>
      <c r="D30" t="s">
        <v>102</v>
      </c>
      <c r="E30">
        <v>100</v>
      </c>
      <c r="F30">
        <v>40</v>
      </c>
      <c r="G30">
        <f t="shared" si="0"/>
        <v>60</v>
      </c>
      <c r="H30">
        <v>15</v>
      </c>
      <c r="I30" t="s">
        <v>137</v>
      </c>
      <c r="J30" t="str">
        <f t="shared" si="1"/>
        <v>OK</v>
      </c>
      <c r="K30">
        <f t="shared" si="2"/>
        <v>0.66666666666666663</v>
      </c>
      <c r="L30" t="str">
        <f t="shared" si="6"/>
        <v>Slow</v>
      </c>
      <c r="M30">
        <f t="shared" si="4"/>
        <v>45</v>
      </c>
      <c r="N30" t="str">
        <f t="shared" si="5"/>
        <v>Safe</v>
      </c>
    </row>
    <row r="31" spans="1:14" x14ac:dyDescent="0.3">
      <c r="A31" t="s">
        <v>64</v>
      </c>
      <c r="B31" t="s">
        <v>111</v>
      </c>
      <c r="C31" t="s">
        <v>112</v>
      </c>
      <c r="D31" t="s">
        <v>113</v>
      </c>
      <c r="E31">
        <v>120</v>
      </c>
      <c r="F31">
        <v>95</v>
      </c>
      <c r="G31">
        <f t="shared" si="0"/>
        <v>25</v>
      </c>
      <c r="H31">
        <v>30</v>
      </c>
      <c r="I31" t="s">
        <v>132</v>
      </c>
      <c r="J31" t="str">
        <f t="shared" si="1"/>
        <v>Reorder</v>
      </c>
      <c r="K31">
        <f t="shared" si="2"/>
        <v>3.8</v>
      </c>
      <c r="L31" t="str">
        <f t="shared" si="6"/>
        <v>Fast</v>
      </c>
      <c r="M31">
        <f t="shared" si="4"/>
        <v>-5</v>
      </c>
      <c r="N31" t="str">
        <f t="shared" si="5"/>
        <v>Critical</v>
      </c>
    </row>
    <row r="32" spans="1:14" x14ac:dyDescent="0.3">
      <c r="A32" t="s">
        <v>65</v>
      </c>
      <c r="B32" t="s">
        <v>114</v>
      </c>
      <c r="C32" t="s">
        <v>112</v>
      </c>
      <c r="D32" t="s">
        <v>113</v>
      </c>
      <c r="E32">
        <v>130</v>
      </c>
      <c r="F32">
        <v>90</v>
      </c>
      <c r="G32">
        <f t="shared" si="0"/>
        <v>40</v>
      </c>
      <c r="H32">
        <v>35</v>
      </c>
      <c r="I32" t="s">
        <v>132</v>
      </c>
      <c r="J32" t="str">
        <f t="shared" si="1"/>
        <v>OK</v>
      </c>
      <c r="K32">
        <f t="shared" si="2"/>
        <v>2.25</v>
      </c>
      <c r="L32" t="str">
        <f t="shared" si="6"/>
        <v>Fast</v>
      </c>
      <c r="M32">
        <f t="shared" si="4"/>
        <v>5</v>
      </c>
      <c r="N32" t="str">
        <f t="shared" si="5"/>
        <v>Low Buffer</v>
      </c>
    </row>
    <row r="33" spans="1:14" x14ac:dyDescent="0.3">
      <c r="A33" t="s">
        <v>66</v>
      </c>
      <c r="B33" t="s">
        <v>115</v>
      </c>
      <c r="C33" t="s">
        <v>116</v>
      </c>
      <c r="D33" t="s">
        <v>117</v>
      </c>
      <c r="E33">
        <v>110</v>
      </c>
      <c r="F33">
        <v>70</v>
      </c>
      <c r="G33">
        <f t="shared" si="0"/>
        <v>40</v>
      </c>
      <c r="H33">
        <v>25</v>
      </c>
      <c r="I33" t="s">
        <v>134</v>
      </c>
      <c r="J33" t="str">
        <f t="shared" si="1"/>
        <v>OK</v>
      </c>
      <c r="K33">
        <f t="shared" si="2"/>
        <v>1.75</v>
      </c>
      <c r="L33" t="str">
        <f t="shared" si="6"/>
        <v>Fast</v>
      </c>
      <c r="M33">
        <f t="shared" si="4"/>
        <v>15</v>
      </c>
      <c r="N33" t="str">
        <f t="shared" si="5"/>
        <v>Safe</v>
      </c>
    </row>
    <row r="34" spans="1:14" x14ac:dyDescent="0.3">
      <c r="A34" t="s">
        <v>67</v>
      </c>
      <c r="B34" t="s">
        <v>118</v>
      </c>
      <c r="C34" t="s">
        <v>116</v>
      </c>
      <c r="D34" t="s">
        <v>119</v>
      </c>
      <c r="E34">
        <v>110</v>
      </c>
      <c r="F34">
        <v>60</v>
      </c>
      <c r="G34">
        <f t="shared" si="0"/>
        <v>50</v>
      </c>
      <c r="H34">
        <v>20</v>
      </c>
      <c r="I34" t="s">
        <v>134</v>
      </c>
      <c r="J34" t="str">
        <f t="shared" si="1"/>
        <v>OK</v>
      </c>
      <c r="K34">
        <f t="shared" si="2"/>
        <v>1.2</v>
      </c>
      <c r="L34" t="str">
        <f t="shared" si="6"/>
        <v>Moderate</v>
      </c>
      <c r="M34">
        <f t="shared" si="4"/>
        <v>30</v>
      </c>
      <c r="N34" t="str">
        <f t="shared" si="5"/>
        <v>Safe</v>
      </c>
    </row>
    <row r="35" spans="1:14" x14ac:dyDescent="0.3">
      <c r="A35" t="s">
        <v>68</v>
      </c>
      <c r="B35" t="s">
        <v>120</v>
      </c>
      <c r="C35" t="s">
        <v>9</v>
      </c>
      <c r="D35" t="s">
        <v>86</v>
      </c>
      <c r="E35">
        <v>95</v>
      </c>
      <c r="F35">
        <v>45</v>
      </c>
      <c r="G35">
        <f t="shared" ref="G35:G41" si="7">E35-F35</f>
        <v>50</v>
      </c>
      <c r="H35">
        <v>20</v>
      </c>
      <c r="I35" t="s">
        <v>144</v>
      </c>
      <c r="J35" t="str">
        <f t="shared" si="1"/>
        <v>OK</v>
      </c>
      <c r="K35">
        <f t="shared" si="2"/>
        <v>0.9</v>
      </c>
      <c r="L35" t="str">
        <f t="shared" si="6"/>
        <v>Slow</v>
      </c>
      <c r="M35">
        <f t="shared" si="4"/>
        <v>30</v>
      </c>
      <c r="N35" t="str">
        <f t="shared" si="5"/>
        <v>Safe</v>
      </c>
    </row>
    <row r="36" spans="1:14" x14ac:dyDescent="0.3">
      <c r="A36" t="s">
        <v>69</v>
      </c>
      <c r="B36" t="s">
        <v>121</v>
      </c>
      <c r="C36" t="s">
        <v>49</v>
      </c>
      <c r="D36" t="s">
        <v>122</v>
      </c>
      <c r="E36">
        <v>90</v>
      </c>
      <c r="F36">
        <v>50</v>
      </c>
      <c r="G36">
        <f t="shared" si="7"/>
        <v>40</v>
      </c>
      <c r="H36">
        <v>25</v>
      </c>
      <c r="I36" t="s">
        <v>158</v>
      </c>
      <c r="J36" t="str">
        <f t="shared" si="1"/>
        <v>OK</v>
      </c>
      <c r="K36">
        <f t="shared" si="2"/>
        <v>1.25</v>
      </c>
      <c r="L36" t="str">
        <f t="shared" si="6"/>
        <v>Moderate</v>
      </c>
      <c r="M36">
        <f t="shared" si="4"/>
        <v>15</v>
      </c>
      <c r="N36" t="str">
        <f t="shared" si="5"/>
        <v>Safe</v>
      </c>
    </row>
    <row r="37" spans="1:14" x14ac:dyDescent="0.3">
      <c r="A37" t="s">
        <v>70</v>
      </c>
      <c r="B37" t="s">
        <v>123</v>
      </c>
      <c r="C37" t="s">
        <v>12</v>
      </c>
      <c r="D37" t="s">
        <v>108</v>
      </c>
      <c r="E37">
        <v>100</v>
      </c>
      <c r="F37">
        <v>65</v>
      </c>
      <c r="G37">
        <f t="shared" si="7"/>
        <v>35</v>
      </c>
      <c r="H37">
        <v>30</v>
      </c>
      <c r="I37" t="s">
        <v>153</v>
      </c>
      <c r="J37" t="str">
        <f t="shared" si="1"/>
        <v>OK</v>
      </c>
      <c r="K37">
        <f t="shared" si="2"/>
        <v>1.8571428571428572</v>
      </c>
      <c r="L37" t="str">
        <f t="shared" si="6"/>
        <v>Fast</v>
      </c>
      <c r="M37">
        <f t="shared" si="4"/>
        <v>5</v>
      </c>
      <c r="N37" t="str">
        <f t="shared" si="5"/>
        <v>Low Buffer</v>
      </c>
    </row>
    <row r="38" spans="1:14" x14ac:dyDescent="0.3">
      <c r="A38" t="s">
        <v>71</v>
      </c>
      <c r="B38" t="s">
        <v>124</v>
      </c>
      <c r="C38" t="s">
        <v>9</v>
      </c>
      <c r="D38" t="s">
        <v>125</v>
      </c>
      <c r="E38">
        <v>80</v>
      </c>
      <c r="F38">
        <v>30</v>
      </c>
      <c r="G38">
        <f t="shared" si="7"/>
        <v>50</v>
      </c>
      <c r="H38">
        <v>20</v>
      </c>
      <c r="I38" t="s">
        <v>145</v>
      </c>
      <c r="J38" t="str">
        <f t="shared" si="1"/>
        <v>OK</v>
      </c>
      <c r="K38">
        <f t="shared" si="2"/>
        <v>0.6</v>
      </c>
      <c r="L38" t="str">
        <f t="shared" si="6"/>
        <v>Slow</v>
      </c>
      <c r="M38">
        <f t="shared" si="4"/>
        <v>30</v>
      </c>
      <c r="N38" t="str">
        <f t="shared" si="5"/>
        <v>Safe</v>
      </c>
    </row>
    <row r="39" spans="1:14" x14ac:dyDescent="0.3">
      <c r="A39" t="s">
        <v>72</v>
      </c>
      <c r="B39" t="s">
        <v>126</v>
      </c>
      <c r="C39" t="s">
        <v>112</v>
      </c>
      <c r="D39" t="s">
        <v>127</v>
      </c>
      <c r="E39">
        <v>90</v>
      </c>
      <c r="F39">
        <v>70</v>
      </c>
      <c r="G39">
        <f t="shared" si="7"/>
        <v>20</v>
      </c>
      <c r="H39">
        <v>25</v>
      </c>
      <c r="I39" t="s">
        <v>133</v>
      </c>
      <c r="J39" t="str">
        <f t="shared" si="1"/>
        <v>Reorder</v>
      </c>
      <c r="K39">
        <f t="shared" si="2"/>
        <v>3.5</v>
      </c>
      <c r="L39" t="str">
        <f t="shared" si="6"/>
        <v>Fast</v>
      </c>
      <c r="M39">
        <f t="shared" si="4"/>
        <v>-5</v>
      </c>
      <c r="N39" t="str">
        <f t="shared" si="5"/>
        <v>Critical</v>
      </c>
    </row>
    <row r="40" spans="1:14" x14ac:dyDescent="0.3">
      <c r="A40" t="s">
        <v>73</v>
      </c>
      <c r="B40" t="s">
        <v>128</v>
      </c>
      <c r="C40" t="s">
        <v>9</v>
      </c>
      <c r="D40" t="s">
        <v>129</v>
      </c>
      <c r="E40">
        <v>85</v>
      </c>
      <c r="F40">
        <v>35</v>
      </c>
      <c r="G40">
        <f t="shared" si="7"/>
        <v>50</v>
      </c>
      <c r="H40">
        <v>25</v>
      </c>
      <c r="I40" t="s">
        <v>144</v>
      </c>
      <c r="J40" t="str">
        <f t="shared" si="1"/>
        <v>OK</v>
      </c>
      <c r="K40">
        <f t="shared" si="2"/>
        <v>0.7</v>
      </c>
      <c r="L40" t="str">
        <f t="shared" si="6"/>
        <v>Slow</v>
      </c>
      <c r="M40">
        <f t="shared" si="4"/>
        <v>25</v>
      </c>
      <c r="N40" t="str">
        <f t="shared" si="5"/>
        <v>Safe</v>
      </c>
    </row>
    <row r="41" spans="1:14" x14ac:dyDescent="0.3">
      <c r="A41" t="s">
        <v>74</v>
      </c>
      <c r="B41" t="s">
        <v>130</v>
      </c>
      <c r="C41" t="s">
        <v>49</v>
      </c>
      <c r="D41" t="s">
        <v>131</v>
      </c>
      <c r="E41">
        <v>100</v>
      </c>
      <c r="F41">
        <v>40</v>
      </c>
      <c r="G41">
        <f t="shared" si="7"/>
        <v>60</v>
      </c>
      <c r="H41">
        <v>20</v>
      </c>
      <c r="I41" t="s">
        <v>156</v>
      </c>
      <c r="J41" t="str">
        <f t="shared" si="1"/>
        <v>OK</v>
      </c>
      <c r="K41">
        <f t="shared" si="2"/>
        <v>0.66666666666666663</v>
      </c>
      <c r="L41" t="str">
        <f t="shared" si="6"/>
        <v>Slow</v>
      </c>
      <c r="M41">
        <f t="shared" si="4"/>
        <v>40</v>
      </c>
      <c r="N41" t="str">
        <f t="shared" si="5"/>
        <v>Safe</v>
      </c>
    </row>
    <row r="47" spans="1:14" x14ac:dyDescent="0.3">
      <c r="A47" t="s">
        <v>172</v>
      </c>
      <c r="B47">
        <f>SUM(G2:G41)</f>
        <v>1925</v>
      </c>
    </row>
    <row r="48" spans="1:14" x14ac:dyDescent="0.3">
      <c r="A48" t="s">
        <v>173</v>
      </c>
      <c r="B48">
        <f>COUNTA(A2:A41)</f>
        <v>40</v>
      </c>
    </row>
    <row r="49" spans="1:2" x14ac:dyDescent="0.3">
      <c r="A49" t="s">
        <v>174</v>
      </c>
      <c r="B49">
        <f>COUNTIF(J2:J41,"Reorder")</f>
        <v>4</v>
      </c>
    </row>
  </sheetData>
  <phoneticPr fontId="2" type="noConversion"/>
  <conditionalFormatting sqref="F20">
    <cfRule type="containsText" dxfId="18" priority="7" operator="containsText" text="OK">
      <formula>NOT(ISERROR(SEARCH("OK",F20)))</formula>
    </cfRule>
  </conditionalFormatting>
  <conditionalFormatting sqref="J1:J1048576">
    <cfRule type="containsText" dxfId="17" priority="5" operator="containsText" text="OK">
      <formula>NOT(ISERROR(SEARCH("OK",J1)))</formula>
    </cfRule>
    <cfRule type="containsText" dxfId="16" priority="6" operator="containsText" text="OK">
      <formula>NOT(ISERROR(SEARCH("OK",J1)))</formula>
    </cfRule>
    <cfRule type="containsText" dxfId="15" priority="9" operator="containsText" text="Reorder">
      <formula>NOT(ISERROR(SEARCH("Reorder",J1)))</formula>
    </cfRule>
    <cfRule type="containsText" dxfId="14" priority="10" operator="containsText" text="OK">
      <formula>NOT(ISERROR(SEARCH("OK",J1)))</formula>
    </cfRule>
  </conditionalFormatting>
  <conditionalFormatting sqref="K1:K1048576">
    <cfRule type="colorScale" priority="4">
      <colorScale>
        <cfvo type="min"/>
        <cfvo type="percentile" val="50"/>
        <cfvo type="max"/>
        <color rgb="FFF8696B"/>
        <color rgb="FFFFEB84"/>
        <color rgb="FF63BE7B"/>
      </colorScale>
    </cfRule>
  </conditionalFormatting>
  <conditionalFormatting sqref="L1:L1048576">
    <cfRule type="containsText" dxfId="13" priority="1" operator="containsText" text="Slow">
      <formula>NOT(ISERROR(SEARCH("Slow",L1)))</formula>
    </cfRule>
    <cfRule type="containsText" dxfId="12" priority="2" operator="containsText" text="Moderate">
      <formula>NOT(ISERROR(SEARCH("Moderate",L1)))</formula>
    </cfRule>
    <cfRule type="containsText" dxfId="11" priority="3" operator="containsText" text="Fast">
      <formula>NOT(ISERROR(SEARCH("Fast",L1)))</formula>
    </cfRule>
  </conditionalFormatting>
  <conditionalFormatting sqref="N1:N1048576">
    <cfRule type="containsText" dxfId="10" priority="11" operator="containsText" text="Low Buffer">
      <formula>NOT(ISERROR(SEARCH("Low Buffer",N1)))</formula>
    </cfRule>
    <cfRule type="containsText" dxfId="9" priority="12" operator="containsText" text="Safe">
      <formula>NOT(ISERROR(SEARCH("Safe",N1)))</formula>
    </cfRule>
    <cfRule type="containsText" dxfId="8" priority="13" operator="containsText" text="Critical">
      <formula>NOT(ISERROR(SEARCH("Critical",N1)))</formula>
    </cfRule>
  </conditionalFormatting>
  <pageMargins left="0.75" right="0.75" top="1" bottom="1"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3F0B1-8B43-4919-B1CF-A21D221FE52C}">
  <dimension ref="A1:I41"/>
  <sheetViews>
    <sheetView workbookViewId="0">
      <pane ySplit="1" topLeftCell="A2" activePane="bottomLeft" state="frozen"/>
      <selection pane="bottomLeft" activeCell="G1" sqref="G1:G1048576"/>
    </sheetView>
  </sheetViews>
  <sheetFormatPr defaultRowHeight="14.4" x14ac:dyDescent="0.3"/>
  <cols>
    <col min="2" max="2" width="8.88671875" customWidth="1"/>
    <col min="3" max="3" width="14" bestFit="1" customWidth="1"/>
    <col min="4" max="4" width="9.21875" bestFit="1" customWidth="1"/>
    <col min="6" max="6" width="12.44140625" bestFit="1" customWidth="1"/>
    <col min="7" max="8" width="8.88671875" style="11"/>
    <col min="9" max="9" width="14.33203125" bestFit="1" customWidth="1"/>
  </cols>
  <sheetData>
    <row r="1" spans="1:9" x14ac:dyDescent="0.3">
      <c r="A1" s="15" t="s">
        <v>179</v>
      </c>
      <c r="B1" s="1" t="s">
        <v>0</v>
      </c>
      <c r="C1" s="1" t="s">
        <v>1</v>
      </c>
      <c r="D1" s="1" t="s">
        <v>4</v>
      </c>
      <c r="E1" s="12" t="s">
        <v>175</v>
      </c>
      <c r="F1" s="12" t="s">
        <v>176</v>
      </c>
      <c r="G1" s="14" t="s">
        <v>177</v>
      </c>
      <c r="H1" s="14" t="s">
        <v>160</v>
      </c>
      <c r="I1" s="12" t="s">
        <v>178</v>
      </c>
    </row>
    <row r="2" spans="1:9" x14ac:dyDescent="0.3">
      <c r="A2">
        <f>ROW()-1</f>
        <v>1</v>
      </c>
      <c r="B2" t="s">
        <v>64</v>
      </c>
      <c r="C2" t="s">
        <v>111</v>
      </c>
      <c r="D2">
        <v>95</v>
      </c>
      <c r="E2" s="13">
        <f>D2/SUM($D$2:$D$41)</f>
        <v>4.6683046683046681E-2</v>
      </c>
      <c r="F2" s="13">
        <f>E2</f>
        <v>4.6683046683046681E-2</v>
      </c>
      <c r="G2" s="11" t="str">
        <f t="shared" ref="G2:G41" si="0">IF(F2&lt;0.7,"A",IF(F2&lt;0.9,"B","C"))</f>
        <v>A</v>
      </c>
      <c r="H2" s="11" t="str">
        <f>VLOOKUP(B2,'Raw Data'!A:J,10,FALSE)</f>
        <v>Reorder</v>
      </c>
      <c r="I2" t="str">
        <f>IF(AND(G2="A", H2="Reorder"),"URGENT",IF(G2="A","High",IF(G2="B","Medium","Low")))</f>
        <v>URGENT</v>
      </c>
    </row>
    <row r="3" spans="1:9" x14ac:dyDescent="0.3">
      <c r="A3">
        <f t="shared" ref="A3:A41" si="1">ROW()-1</f>
        <v>2</v>
      </c>
      <c r="B3" t="s">
        <v>65</v>
      </c>
      <c r="C3" t="s">
        <v>114</v>
      </c>
      <c r="D3">
        <v>90</v>
      </c>
      <c r="E3" s="13">
        <f t="shared" ref="E3:E41" si="2">D3/SUM($D$2:$D$41)</f>
        <v>4.4226044226044224E-2</v>
      </c>
      <c r="F3" s="13">
        <f>F2+E3</f>
        <v>9.0909090909090912E-2</v>
      </c>
      <c r="G3" s="11" t="str">
        <f t="shared" si="0"/>
        <v>A</v>
      </c>
      <c r="H3" s="11" t="str">
        <f>VLOOKUP(B3,'Raw Data'!A:J,10,FALSE)</f>
        <v>OK</v>
      </c>
      <c r="I3" t="str">
        <f t="shared" ref="I3:I41" si="3">IF(AND(G3="A", H3="Reorder"),"URGENT",IF(G3="A","High",IF(G3="B","Medium","Low")))</f>
        <v>High</v>
      </c>
    </row>
    <row r="4" spans="1:9" x14ac:dyDescent="0.3">
      <c r="A4">
        <f t="shared" si="1"/>
        <v>3</v>
      </c>
      <c r="B4" t="s">
        <v>28</v>
      </c>
      <c r="C4" t="s">
        <v>77</v>
      </c>
      <c r="D4">
        <v>80</v>
      </c>
      <c r="E4" s="13">
        <f t="shared" si="2"/>
        <v>3.9312039312039311E-2</v>
      </c>
      <c r="F4" s="13">
        <f t="shared" ref="F4:F41" si="4">F3+E4</f>
        <v>0.13022113022113022</v>
      </c>
      <c r="G4" s="11" t="str">
        <f t="shared" si="0"/>
        <v>A</v>
      </c>
      <c r="H4" s="11" t="str">
        <f>VLOOKUP(B4,'Raw Data'!A:J,10,FALSE)</f>
        <v>OK</v>
      </c>
      <c r="I4" t="str">
        <f t="shared" si="3"/>
        <v>High</v>
      </c>
    </row>
    <row r="5" spans="1:9" x14ac:dyDescent="0.3">
      <c r="A5">
        <f t="shared" si="1"/>
        <v>4</v>
      </c>
      <c r="B5" t="s">
        <v>55</v>
      </c>
      <c r="C5" t="s">
        <v>171</v>
      </c>
      <c r="D5">
        <v>80</v>
      </c>
      <c r="E5" s="13">
        <f t="shared" si="2"/>
        <v>3.9312039312039311E-2</v>
      </c>
      <c r="F5" s="13">
        <f t="shared" si="4"/>
        <v>0.16953316953316952</v>
      </c>
      <c r="G5" s="11" t="str">
        <f t="shared" si="0"/>
        <v>A</v>
      </c>
      <c r="H5" s="11" t="str">
        <f>VLOOKUP(B5,'Raw Data'!A:J,10,FALSE)</f>
        <v>OK</v>
      </c>
      <c r="I5" t="str">
        <f t="shared" si="3"/>
        <v>High</v>
      </c>
    </row>
    <row r="6" spans="1:9" x14ac:dyDescent="0.3">
      <c r="A6">
        <f t="shared" si="1"/>
        <v>5</v>
      </c>
      <c r="B6" s="3">
        <v>1017</v>
      </c>
      <c r="C6" t="s">
        <v>50</v>
      </c>
      <c r="D6">
        <v>75</v>
      </c>
      <c r="E6" s="13">
        <f t="shared" si="2"/>
        <v>3.6855036855036855E-2</v>
      </c>
      <c r="F6" s="13">
        <f t="shared" si="4"/>
        <v>0.20638820638820637</v>
      </c>
      <c r="G6" s="11" t="str">
        <f t="shared" si="0"/>
        <v>A</v>
      </c>
      <c r="H6" s="11" t="str">
        <f>VLOOKUP('Monthly Demand Data'!A32,'Raw Data'!A:J,10,FALSE)</f>
        <v>OK</v>
      </c>
      <c r="I6" t="str">
        <f t="shared" si="3"/>
        <v>High</v>
      </c>
    </row>
    <row r="7" spans="1:9" x14ac:dyDescent="0.3">
      <c r="A7">
        <f t="shared" si="1"/>
        <v>6</v>
      </c>
      <c r="B7" t="s">
        <v>22</v>
      </c>
      <c r="C7" t="s">
        <v>23</v>
      </c>
      <c r="D7">
        <v>70</v>
      </c>
      <c r="E7" s="13">
        <f t="shared" si="2"/>
        <v>3.4398034398034398E-2</v>
      </c>
      <c r="F7" s="13">
        <f t="shared" si="4"/>
        <v>0.24078624078624078</v>
      </c>
      <c r="G7" s="11" t="str">
        <f t="shared" si="0"/>
        <v>A</v>
      </c>
      <c r="H7" s="11" t="str">
        <f>VLOOKUP(B7,'Raw Data'!A:J,10,FALSE)</f>
        <v>OK</v>
      </c>
      <c r="I7" t="str">
        <f t="shared" si="3"/>
        <v>High</v>
      </c>
    </row>
    <row r="8" spans="1:9" x14ac:dyDescent="0.3">
      <c r="A8">
        <f t="shared" si="1"/>
        <v>7</v>
      </c>
      <c r="B8" t="s">
        <v>39</v>
      </c>
      <c r="C8" t="s">
        <v>53</v>
      </c>
      <c r="D8">
        <v>70</v>
      </c>
      <c r="E8" s="13">
        <f t="shared" si="2"/>
        <v>3.4398034398034398E-2</v>
      </c>
      <c r="F8" s="13">
        <f t="shared" si="4"/>
        <v>0.27518427518427518</v>
      </c>
      <c r="G8" s="11" t="str">
        <f t="shared" si="0"/>
        <v>A</v>
      </c>
      <c r="H8" s="11" t="str">
        <f>VLOOKUP(B8,'Raw Data'!A:J,10,FALSE)</f>
        <v>OK</v>
      </c>
      <c r="I8" t="str">
        <f t="shared" si="3"/>
        <v>High</v>
      </c>
    </row>
    <row r="9" spans="1:9" x14ac:dyDescent="0.3">
      <c r="A9">
        <f t="shared" si="1"/>
        <v>8</v>
      </c>
      <c r="B9" t="s">
        <v>56</v>
      </c>
      <c r="C9" t="s">
        <v>75</v>
      </c>
      <c r="D9">
        <v>70</v>
      </c>
      <c r="E9" s="13">
        <f t="shared" si="2"/>
        <v>3.4398034398034398E-2</v>
      </c>
      <c r="F9" s="13">
        <f t="shared" si="4"/>
        <v>0.30958230958230959</v>
      </c>
      <c r="G9" s="11" t="str">
        <f t="shared" si="0"/>
        <v>A</v>
      </c>
      <c r="H9" s="11" t="str">
        <f>VLOOKUP(B9,'Raw Data'!A:J,10,FALSE)</f>
        <v>OK</v>
      </c>
      <c r="I9" t="str">
        <f t="shared" si="3"/>
        <v>High</v>
      </c>
    </row>
    <row r="10" spans="1:9" x14ac:dyDescent="0.3">
      <c r="A10">
        <f t="shared" si="1"/>
        <v>9</v>
      </c>
      <c r="B10" t="s">
        <v>58</v>
      </c>
      <c r="C10" t="s">
        <v>76</v>
      </c>
      <c r="D10">
        <v>70</v>
      </c>
      <c r="E10" s="13">
        <f t="shared" si="2"/>
        <v>3.4398034398034398E-2</v>
      </c>
      <c r="F10" s="13">
        <f t="shared" si="4"/>
        <v>0.34398034398034399</v>
      </c>
      <c r="G10" s="11" t="str">
        <f t="shared" si="0"/>
        <v>A</v>
      </c>
      <c r="H10" s="11" t="str">
        <f>VLOOKUP(B10,'Raw Data'!A:J,10,FALSE)</f>
        <v>OK</v>
      </c>
      <c r="I10" t="str">
        <f t="shared" si="3"/>
        <v>High</v>
      </c>
    </row>
    <row r="11" spans="1:9" x14ac:dyDescent="0.3">
      <c r="A11">
        <f t="shared" si="1"/>
        <v>10</v>
      </c>
      <c r="B11" t="s">
        <v>66</v>
      </c>
      <c r="C11" t="s">
        <v>115</v>
      </c>
      <c r="D11">
        <v>70</v>
      </c>
      <c r="E11" s="13">
        <f t="shared" si="2"/>
        <v>3.4398034398034398E-2</v>
      </c>
      <c r="F11" s="13">
        <f t="shared" si="4"/>
        <v>0.3783783783783784</v>
      </c>
      <c r="G11" s="11" t="str">
        <f t="shared" si="0"/>
        <v>A</v>
      </c>
      <c r="H11" s="11" t="str">
        <f>VLOOKUP(B11,'Raw Data'!A:J,10,FALSE)</f>
        <v>OK</v>
      </c>
      <c r="I11" t="str">
        <f t="shared" si="3"/>
        <v>High</v>
      </c>
    </row>
    <row r="12" spans="1:9" x14ac:dyDescent="0.3">
      <c r="A12">
        <f t="shared" si="1"/>
        <v>11</v>
      </c>
      <c r="B12" t="s">
        <v>72</v>
      </c>
      <c r="C12" t="s">
        <v>126</v>
      </c>
      <c r="D12">
        <v>70</v>
      </c>
      <c r="E12" s="13">
        <f t="shared" si="2"/>
        <v>3.4398034398034398E-2</v>
      </c>
      <c r="F12" s="13">
        <f t="shared" si="4"/>
        <v>0.4127764127764128</v>
      </c>
      <c r="G12" s="11" t="str">
        <f t="shared" si="0"/>
        <v>A</v>
      </c>
      <c r="H12" s="11" t="str">
        <f>VLOOKUP(B12,'Raw Data'!A:J,10,FALSE)</f>
        <v>Reorder</v>
      </c>
      <c r="I12" t="str">
        <f t="shared" si="3"/>
        <v>URGENT</v>
      </c>
    </row>
    <row r="13" spans="1:9" x14ac:dyDescent="0.3">
      <c r="A13">
        <f t="shared" si="1"/>
        <v>12</v>
      </c>
      <c r="B13" t="s">
        <v>40</v>
      </c>
      <c r="C13" t="s">
        <v>54</v>
      </c>
      <c r="D13">
        <v>65</v>
      </c>
      <c r="E13" s="13">
        <f t="shared" si="2"/>
        <v>3.1941031941031942E-2</v>
      </c>
      <c r="F13" s="13">
        <f t="shared" si="4"/>
        <v>0.44471744471744473</v>
      </c>
      <c r="G13" s="11" t="str">
        <f t="shared" si="0"/>
        <v>A</v>
      </c>
      <c r="H13" s="11" t="str">
        <f>VLOOKUP(B13,'Raw Data'!A:J,10,FALSE)</f>
        <v>OK</v>
      </c>
      <c r="I13" t="str">
        <f t="shared" si="3"/>
        <v>High</v>
      </c>
    </row>
    <row r="14" spans="1:9" x14ac:dyDescent="0.3">
      <c r="A14">
        <f t="shared" si="1"/>
        <v>13</v>
      </c>
      <c r="B14" t="s">
        <v>70</v>
      </c>
      <c r="C14" t="s">
        <v>123</v>
      </c>
      <c r="D14">
        <v>65</v>
      </c>
      <c r="E14" s="13">
        <f t="shared" si="2"/>
        <v>3.1941031941031942E-2</v>
      </c>
      <c r="F14" s="13">
        <f t="shared" si="4"/>
        <v>0.47665847665847666</v>
      </c>
      <c r="G14" s="11" t="str">
        <f t="shared" si="0"/>
        <v>A</v>
      </c>
      <c r="H14" s="11" t="str">
        <f>VLOOKUP(B14,'Raw Data'!A:J,10,FALSE)</f>
        <v>OK</v>
      </c>
      <c r="I14" t="str">
        <f t="shared" si="3"/>
        <v>High</v>
      </c>
    </row>
    <row r="15" spans="1:9" x14ac:dyDescent="0.3">
      <c r="A15">
        <f t="shared" si="1"/>
        <v>14</v>
      </c>
      <c r="B15" t="s">
        <v>26</v>
      </c>
      <c r="C15" t="s">
        <v>27</v>
      </c>
      <c r="D15">
        <v>60</v>
      </c>
      <c r="E15" s="13">
        <f t="shared" si="2"/>
        <v>2.9484029484029485E-2</v>
      </c>
      <c r="F15" s="13">
        <f t="shared" si="4"/>
        <v>0.50614250614250611</v>
      </c>
      <c r="G15" s="11" t="str">
        <f t="shared" si="0"/>
        <v>A</v>
      </c>
      <c r="H15" s="11" t="str">
        <f>VLOOKUP(B15,'Raw Data'!A:J,10,FALSE)</f>
        <v>OK</v>
      </c>
      <c r="I15" t="str">
        <f t="shared" si="3"/>
        <v>High</v>
      </c>
    </row>
    <row r="16" spans="1:9" x14ac:dyDescent="0.3">
      <c r="A16">
        <f t="shared" si="1"/>
        <v>15</v>
      </c>
      <c r="B16" t="s">
        <v>36</v>
      </c>
      <c r="C16" t="s">
        <v>48</v>
      </c>
      <c r="D16">
        <v>60</v>
      </c>
      <c r="E16" s="13">
        <f t="shared" si="2"/>
        <v>2.9484029484029485E-2</v>
      </c>
      <c r="F16" s="13">
        <f t="shared" si="4"/>
        <v>0.53562653562653562</v>
      </c>
      <c r="G16" s="11" t="str">
        <f t="shared" si="0"/>
        <v>A</v>
      </c>
      <c r="H16" s="11" t="str">
        <f>VLOOKUP(B16,'Raw Data'!A:J,10,FALSE)</f>
        <v>OK</v>
      </c>
      <c r="I16" t="str">
        <f t="shared" si="3"/>
        <v>High</v>
      </c>
    </row>
    <row r="17" spans="1:9" x14ac:dyDescent="0.3">
      <c r="A17">
        <f t="shared" si="1"/>
        <v>16</v>
      </c>
      <c r="B17" t="s">
        <v>38</v>
      </c>
      <c r="C17" t="s">
        <v>52</v>
      </c>
      <c r="D17">
        <v>60</v>
      </c>
      <c r="E17" s="13">
        <f t="shared" si="2"/>
        <v>2.9484029484029485E-2</v>
      </c>
      <c r="F17" s="13">
        <f t="shared" si="4"/>
        <v>0.56511056511056512</v>
      </c>
      <c r="G17" s="11" t="str">
        <f t="shared" si="0"/>
        <v>A</v>
      </c>
      <c r="H17" s="11" t="str">
        <f>VLOOKUP(B17,'Raw Data'!A:J,10,FALSE)</f>
        <v>OK</v>
      </c>
      <c r="I17" t="str">
        <f t="shared" si="3"/>
        <v>High</v>
      </c>
    </row>
    <row r="18" spans="1:9" x14ac:dyDescent="0.3">
      <c r="A18">
        <f t="shared" si="1"/>
        <v>17</v>
      </c>
      <c r="B18" t="s">
        <v>57</v>
      </c>
      <c r="C18" t="s">
        <v>92</v>
      </c>
      <c r="D18">
        <v>60</v>
      </c>
      <c r="E18" s="13">
        <f t="shared" si="2"/>
        <v>2.9484029484029485E-2</v>
      </c>
      <c r="F18" s="13">
        <f t="shared" si="4"/>
        <v>0.59459459459459463</v>
      </c>
      <c r="G18" s="11" t="str">
        <f t="shared" si="0"/>
        <v>A</v>
      </c>
      <c r="H18" s="11" t="str">
        <f>VLOOKUP(B18,'Raw Data'!A:J,10,FALSE)</f>
        <v>OK</v>
      </c>
      <c r="I18" t="str">
        <f t="shared" si="3"/>
        <v>High</v>
      </c>
    </row>
    <row r="19" spans="1:9" x14ac:dyDescent="0.3">
      <c r="A19">
        <f t="shared" si="1"/>
        <v>18</v>
      </c>
      <c r="B19" t="s">
        <v>59</v>
      </c>
      <c r="C19" t="s">
        <v>78</v>
      </c>
      <c r="D19">
        <v>60</v>
      </c>
      <c r="E19" s="13">
        <f t="shared" si="2"/>
        <v>2.9484029484029485E-2</v>
      </c>
      <c r="F19" s="13">
        <f t="shared" si="4"/>
        <v>0.62407862407862413</v>
      </c>
      <c r="G19" s="11" t="str">
        <f t="shared" si="0"/>
        <v>A</v>
      </c>
      <c r="H19" s="11" t="str">
        <f>VLOOKUP(B19,'Raw Data'!A:J,10,FALSE)</f>
        <v>OK</v>
      </c>
      <c r="I19" t="str">
        <f t="shared" si="3"/>
        <v>High</v>
      </c>
    </row>
    <row r="20" spans="1:9" x14ac:dyDescent="0.3">
      <c r="A20">
        <f t="shared" si="1"/>
        <v>19</v>
      </c>
      <c r="B20" t="s">
        <v>67</v>
      </c>
      <c r="C20" t="s">
        <v>118</v>
      </c>
      <c r="D20">
        <v>60</v>
      </c>
      <c r="E20" s="13">
        <f t="shared" si="2"/>
        <v>2.9484029484029485E-2</v>
      </c>
      <c r="F20" s="13">
        <f t="shared" si="4"/>
        <v>0.65356265356265364</v>
      </c>
      <c r="G20" s="11" t="str">
        <f t="shared" si="0"/>
        <v>A</v>
      </c>
      <c r="H20" s="11" t="str">
        <f>VLOOKUP(B20,'Raw Data'!A:J,10,FALSE)</f>
        <v>OK</v>
      </c>
      <c r="I20" t="str">
        <f t="shared" si="3"/>
        <v>High</v>
      </c>
    </row>
    <row r="21" spans="1:9" x14ac:dyDescent="0.3">
      <c r="A21">
        <f t="shared" si="1"/>
        <v>20</v>
      </c>
      <c r="B21" t="s">
        <v>61</v>
      </c>
      <c r="C21" t="s">
        <v>80</v>
      </c>
      <c r="D21">
        <v>55</v>
      </c>
      <c r="E21" s="13">
        <f t="shared" si="2"/>
        <v>2.7027027027027029E-2</v>
      </c>
      <c r="F21" s="13">
        <f t="shared" si="4"/>
        <v>0.68058968058968072</v>
      </c>
      <c r="G21" s="11" t="str">
        <f t="shared" si="0"/>
        <v>A</v>
      </c>
      <c r="H21" s="11" t="str">
        <f>VLOOKUP(B21,'Raw Data'!A:J,10,FALSE)</f>
        <v>OK</v>
      </c>
      <c r="I21" t="str">
        <f t="shared" si="3"/>
        <v>High</v>
      </c>
    </row>
    <row r="22" spans="1:9" x14ac:dyDescent="0.3">
      <c r="A22">
        <f t="shared" si="1"/>
        <v>21</v>
      </c>
      <c r="B22" t="s">
        <v>16</v>
      </c>
      <c r="C22" t="s">
        <v>17</v>
      </c>
      <c r="D22">
        <v>50</v>
      </c>
      <c r="E22" s="13">
        <f t="shared" si="2"/>
        <v>2.4570024570024569E-2</v>
      </c>
      <c r="F22" s="13">
        <f t="shared" si="4"/>
        <v>0.70515970515970527</v>
      </c>
      <c r="G22" s="11" t="str">
        <f t="shared" si="0"/>
        <v>B</v>
      </c>
      <c r="H22" s="11" t="str">
        <f>VLOOKUP(B22,'Raw Data'!A:J,10,FALSE)</f>
        <v>Reorder</v>
      </c>
      <c r="I22" t="str">
        <f t="shared" si="3"/>
        <v>Medium</v>
      </c>
    </row>
    <row r="23" spans="1:9" x14ac:dyDescent="0.3">
      <c r="A23">
        <f t="shared" si="1"/>
        <v>22</v>
      </c>
      <c r="B23" t="s">
        <v>35</v>
      </c>
      <c r="C23" t="s">
        <v>46</v>
      </c>
      <c r="D23">
        <v>50</v>
      </c>
      <c r="E23" s="13">
        <f t="shared" si="2"/>
        <v>2.4570024570024569E-2</v>
      </c>
      <c r="F23" s="13">
        <f t="shared" si="4"/>
        <v>0.72972972972972983</v>
      </c>
      <c r="G23" s="11" t="str">
        <f t="shared" si="0"/>
        <v>B</v>
      </c>
      <c r="H23" s="11" t="str">
        <f>VLOOKUP(B23,'Raw Data'!A:J,10,FALSE)</f>
        <v>OK</v>
      </c>
      <c r="I23" t="str">
        <f t="shared" si="3"/>
        <v>Medium</v>
      </c>
    </row>
    <row r="24" spans="1:9" x14ac:dyDescent="0.3">
      <c r="A24">
        <f t="shared" si="1"/>
        <v>23</v>
      </c>
      <c r="B24" t="s">
        <v>60</v>
      </c>
      <c r="C24" t="s">
        <v>79</v>
      </c>
      <c r="D24">
        <v>50</v>
      </c>
      <c r="E24" s="13">
        <f t="shared" si="2"/>
        <v>2.4570024570024569E-2</v>
      </c>
      <c r="F24" s="13">
        <f t="shared" si="4"/>
        <v>0.75429975429975438</v>
      </c>
      <c r="G24" s="11" t="str">
        <f t="shared" si="0"/>
        <v>B</v>
      </c>
      <c r="H24" s="11" t="str">
        <f>VLOOKUP(B24,'Raw Data'!A:J,10,FALSE)</f>
        <v>OK</v>
      </c>
      <c r="I24" t="str">
        <f t="shared" si="3"/>
        <v>Medium</v>
      </c>
    </row>
    <row r="25" spans="1:9" x14ac:dyDescent="0.3">
      <c r="A25">
        <f t="shared" si="1"/>
        <v>24</v>
      </c>
      <c r="B25" t="s">
        <v>69</v>
      </c>
      <c r="C25" t="s">
        <v>121</v>
      </c>
      <c r="D25">
        <v>50</v>
      </c>
      <c r="E25" s="13">
        <f t="shared" si="2"/>
        <v>2.4570024570024569E-2</v>
      </c>
      <c r="F25" s="13">
        <f t="shared" si="4"/>
        <v>0.77886977886977893</v>
      </c>
      <c r="G25" s="11" t="str">
        <f t="shared" si="0"/>
        <v>B</v>
      </c>
      <c r="H25" s="11" t="str">
        <f>VLOOKUP(B25,'Raw Data'!A:J,10,FALSE)</f>
        <v>OK</v>
      </c>
      <c r="I25" t="str">
        <f t="shared" si="3"/>
        <v>Medium</v>
      </c>
    </row>
    <row r="26" spans="1:9" x14ac:dyDescent="0.3">
      <c r="A26">
        <f t="shared" si="1"/>
        <v>25</v>
      </c>
      <c r="B26" t="s">
        <v>68</v>
      </c>
      <c r="C26" t="s">
        <v>120</v>
      </c>
      <c r="D26">
        <v>45</v>
      </c>
      <c r="E26" s="13">
        <f t="shared" si="2"/>
        <v>2.2113022113022112E-2</v>
      </c>
      <c r="F26" s="13">
        <f t="shared" si="4"/>
        <v>0.80098280098280106</v>
      </c>
      <c r="G26" s="11" t="str">
        <f t="shared" si="0"/>
        <v>B</v>
      </c>
      <c r="H26" s="11" t="str">
        <f>VLOOKUP(B26,'Raw Data'!A:J,10,FALSE)</f>
        <v>OK</v>
      </c>
      <c r="I26" t="str">
        <f t="shared" si="3"/>
        <v>Medium</v>
      </c>
    </row>
    <row r="27" spans="1:9" x14ac:dyDescent="0.3">
      <c r="A27">
        <f t="shared" si="1"/>
        <v>26</v>
      </c>
      <c r="B27" t="s">
        <v>62</v>
      </c>
      <c r="C27" t="s">
        <v>81</v>
      </c>
      <c r="D27">
        <v>40</v>
      </c>
      <c r="E27" s="13">
        <f t="shared" si="2"/>
        <v>1.9656019656019656E-2</v>
      </c>
      <c r="F27" s="13">
        <f t="shared" si="4"/>
        <v>0.82063882063882077</v>
      </c>
      <c r="G27" s="11" t="str">
        <f t="shared" si="0"/>
        <v>B</v>
      </c>
      <c r="H27" s="11" t="str">
        <f>VLOOKUP(B27,'Raw Data'!A:J,10,FALSE)</f>
        <v>OK</v>
      </c>
      <c r="I27" t="str">
        <f t="shared" si="3"/>
        <v>Medium</v>
      </c>
    </row>
    <row r="28" spans="1:9" x14ac:dyDescent="0.3">
      <c r="A28">
        <f t="shared" si="1"/>
        <v>27</v>
      </c>
      <c r="B28" t="s">
        <v>63</v>
      </c>
      <c r="C28" t="s">
        <v>82</v>
      </c>
      <c r="D28">
        <v>40</v>
      </c>
      <c r="E28" s="13">
        <f t="shared" si="2"/>
        <v>1.9656019656019656E-2</v>
      </c>
      <c r="F28" s="13">
        <f t="shared" si="4"/>
        <v>0.84029484029484047</v>
      </c>
      <c r="G28" s="11" t="str">
        <f t="shared" si="0"/>
        <v>B</v>
      </c>
      <c r="H28" s="11" t="str">
        <f>VLOOKUP(B28,'Raw Data'!A:J,10,FALSE)</f>
        <v>OK</v>
      </c>
      <c r="I28" t="str">
        <f t="shared" si="3"/>
        <v>Medium</v>
      </c>
    </row>
    <row r="29" spans="1:9" x14ac:dyDescent="0.3">
      <c r="A29">
        <f t="shared" si="1"/>
        <v>28</v>
      </c>
      <c r="B29" t="s">
        <v>74</v>
      </c>
      <c r="C29" t="s">
        <v>130</v>
      </c>
      <c r="D29">
        <v>40</v>
      </c>
      <c r="E29" s="13">
        <f t="shared" si="2"/>
        <v>1.9656019656019656E-2</v>
      </c>
      <c r="F29" s="13">
        <f t="shared" si="4"/>
        <v>0.85995085995086018</v>
      </c>
      <c r="G29" s="11" t="str">
        <f t="shared" si="0"/>
        <v>B</v>
      </c>
      <c r="H29" s="11" t="str">
        <f>VLOOKUP(B29,'Raw Data'!A:J,10,FALSE)</f>
        <v>OK</v>
      </c>
      <c r="I29" t="str">
        <f t="shared" si="3"/>
        <v>Medium</v>
      </c>
    </row>
    <row r="30" spans="1:9" x14ac:dyDescent="0.3">
      <c r="A30">
        <f t="shared" si="1"/>
        <v>29</v>
      </c>
      <c r="B30" t="s">
        <v>19</v>
      </c>
      <c r="C30" t="s">
        <v>20</v>
      </c>
      <c r="D30">
        <v>35</v>
      </c>
      <c r="E30" s="13">
        <f t="shared" si="2"/>
        <v>1.7199017199017199E-2</v>
      </c>
      <c r="F30" s="13">
        <f t="shared" si="4"/>
        <v>0.87714987714987736</v>
      </c>
      <c r="G30" s="11" t="str">
        <f t="shared" si="0"/>
        <v>B</v>
      </c>
      <c r="H30" s="11" t="str">
        <f>VLOOKUP(B30,'Raw Data'!A:J,10,FALSE)</f>
        <v>Reorder</v>
      </c>
      <c r="I30" t="str">
        <f t="shared" si="3"/>
        <v>Medium</v>
      </c>
    </row>
    <row r="31" spans="1:9" x14ac:dyDescent="0.3">
      <c r="A31">
        <f t="shared" si="1"/>
        <v>30</v>
      </c>
      <c r="B31" t="s">
        <v>73</v>
      </c>
      <c r="C31" t="s">
        <v>128</v>
      </c>
      <c r="D31">
        <v>35</v>
      </c>
      <c r="E31" s="13">
        <f t="shared" si="2"/>
        <v>1.7199017199017199E-2</v>
      </c>
      <c r="F31" s="13">
        <f t="shared" si="4"/>
        <v>0.89434889434889453</v>
      </c>
      <c r="G31" s="11" t="str">
        <f t="shared" si="0"/>
        <v>B</v>
      </c>
      <c r="H31" s="11" t="str">
        <f>VLOOKUP(B31,'Raw Data'!A:J,10,FALSE)</f>
        <v>OK</v>
      </c>
      <c r="I31" t="str">
        <f t="shared" si="3"/>
        <v>Medium</v>
      </c>
    </row>
    <row r="32" spans="1:9" x14ac:dyDescent="0.3">
      <c r="A32">
        <f t="shared" si="1"/>
        <v>31</v>
      </c>
      <c r="B32" t="s">
        <v>24</v>
      </c>
      <c r="C32" t="s">
        <v>25</v>
      </c>
      <c r="D32">
        <v>30</v>
      </c>
      <c r="E32" s="13">
        <f t="shared" si="2"/>
        <v>1.4742014742014743E-2</v>
      </c>
      <c r="F32" s="13">
        <f t="shared" si="4"/>
        <v>0.90909090909090928</v>
      </c>
      <c r="G32" s="11" t="str">
        <f t="shared" si="0"/>
        <v>C</v>
      </c>
      <c r="H32" s="11" t="str">
        <f>VLOOKUP(B32,'Raw Data'!A:J,10,FALSE)</f>
        <v>OK</v>
      </c>
      <c r="I32" t="str">
        <f t="shared" si="3"/>
        <v>Low</v>
      </c>
    </row>
    <row r="33" spans="1:9" x14ac:dyDescent="0.3">
      <c r="A33">
        <f t="shared" si="1"/>
        <v>32</v>
      </c>
      <c r="B33" t="s">
        <v>34</v>
      </c>
      <c r="C33" t="s">
        <v>45</v>
      </c>
      <c r="D33">
        <v>30</v>
      </c>
      <c r="E33" s="13">
        <f t="shared" si="2"/>
        <v>1.4742014742014743E-2</v>
      </c>
      <c r="F33" s="13">
        <f t="shared" si="4"/>
        <v>0.92383292383292404</v>
      </c>
      <c r="G33" s="11" t="str">
        <f t="shared" si="0"/>
        <v>C</v>
      </c>
      <c r="H33" s="11" t="str">
        <f>VLOOKUP(B33,'Raw Data'!A:J,10,FALSE)</f>
        <v>OK</v>
      </c>
      <c r="I33" t="str">
        <f t="shared" si="3"/>
        <v>Low</v>
      </c>
    </row>
    <row r="34" spans="1:9" x14ac:dyDescent="0.3">
      <c r="A34">
        <f t="shared" si="1"/>
        <v>33</v>
      </c>
      <c r="B34" t="s">
        <v>71</v>
      </c>
      <c r="C34" t="s">
        <v>124</v>
      </c>
      <c r="D34">
        <v>30</v>
      </c>
      <c r="E34" s="13">
        <f t="shared" si="2"/>
        <v>1.4742014742014743E-2</v>
      </c>
      <c r="F34" s="13">
        <f t="shared" si="4"/>
        <v>0.93857493857493879</v>
      </c>
      <c r="G34" s="11" t="str">
        <f t="shared" si="0"/>
        <v>C</v>
      </c>
      <c r="H34" s="11" t="str">
        <f>VLOOKUP(B34,'Raw Data'!A:J,10,FALSE)</f>
        <v>OK</v>
      </c>
      <c r="I34" t="str">
        <f t="shared" si="3"/>
        <v>Low</v>
      </c>
    </row>
    <row r="35" spans="1:9" x14ac:dyDescent="0.3">
      <c r="A35">
        <f t="shared" si="1"/>
        <v>34</v>
      </c>
      <c r="B35" t="s">
        <v>13</v>
      </c>
      <c r="C35" t="s">
        <v>14</v>
      </c>
      <c r="D35">
        <v>25</v>
      </c>
      <c r="E35" s="13">
        <f t="shared" si="2"/>
        <v>1.2285012285012284E-2</v>
      </c>
      <c r="F35" s="13">
        <f t="shared" si="4"/>
        <v>0.95085995085995112</v>
      </c>
      <c r="G35" s="11" t="str">
        <f t="shared" si="0"/>
        <v>C</v>
      </c>
      <c r="H35" s="11" t="str">
        <f>VLOOKUP(B35,'Raw Data'!A:J,10,FALSE)</f>
        <v>OK</v>
      </c>
      <c r="I35" t="str">
        <f t="shared" si="3"/>
        <v>Low</v>
      </c>
    </row>
    <row r="36" spans="1:9" x14ac:dyDescent="0.3">
      <c r="A36">
        <f t="shared" si="1"/>
        <v>35</v>
      </c>
      <c r="B36" t="s">
        <v>8</v>
      </c>
      <c r="C36" t="s">
        <v>84</v>
      </c>
      <c r="D36">
        <v>20</v>
      </c>
      <c r="E36" s="13">
        <f t="shared" si="2"/>
        <v>9.8280098280098278E-3</v>
      </c>
      <c r="F36" s="13">
        <f t="shared" si="4"/>
        <v>0.96068796068796092</v>
      </c>
      <c r="G36" s="11" t="str">
        <f t="shared" si="0"/>
        <v>C</v>
      </c>
      <c r="H36" s="11" t="str">
        <f>VLOOKUP(B36,'Raw Data'!A:J,10,FALSE)</f>
        <v>OK</v>
      </c>
      <c r="I36" t="str">
        <f t="shared" si="3"/>
        <v>Low</v>
      </c>
    </row>
    <row r="37" spans="1:9" x14ac:dyDescent="0.3">
      <c r="A37">
        <f t="shared" si="1"/>
        <v>36</v>
      </c>
      <c r="B37" t="s">
        <v>31</v>
      </c>
      <c r="C37" t="s">
        <v>41</v>
      </c>
      <c r="D37">
        <v>20</v>
      </c>
      <c r="E37" s="13">
        <f t="shared" si="2"/>
        <v>9.8280098280098278E-3</v>
      </c>
      <c r="F37" s="13">
        <f t="shared" si="4"/>
        <v>0.97051597051597072</v>
      </c>
      <c r="G37" s="11" t="str">
        <f t="shared" si="0"/>
        <v>C</v>
      </c>
      <c r="H37" s="11" t="str">
        <f>VLOOKUP(B37,'Raw Data'!A:J,10,FALSE)</f>
        <v>OK</v>
      </c>
      <c r="I37" t="str">
        <f t="shared" si="3"/>
        <v>Low</v>
      </c>
    </row>
    <row r="38" spans="1:9" x14ac:dyDescent="0.3">
      <c r="A38">
        <f t="shared" si="1"/>
        <v>37</v>
      </c>
      <c r="B38" t="s">
        <v>33</v>
      </c>
      <c r="C38" t="s">
        <v>44</v>
      </c>
      <c r="D38">
        <v>20</v>
      </c>
      <c r="E38" s="13">
        <f t="shared" si="2"/>
        <v>9.8280098280098278E-3</v>
      </c>
      <c r="F38" s="13">
        <f t="shared" si="4"/>
        <v>0.98034398034398051</v>
      </c>
      <c r="G38" s="11" t="str">
        <f t="shared" si="0"/>
        <v>C</v>
      </c>
      <c r="H38" s="11" t="str">
        <f>VLOOKUP(B38,'Raw Data'!A:J,10,FALSE)</f>
        <v>OK</v>
      </c>
      <c r="I38" t="str">
        <f t="shared" si="3"/>
        <v>Low</v>
      </c>
    </row>
    <row r="39" spans="1:9" x14ac:dyDescent="0.3">
      <c r="A39">
        <f t="shared" si="1"/>
        <v>38</v>
      </c>
      <c r="B39" t="s">
        <v>30</v>
      </c>
      <c r="C39" t="s">
        <v>51</v>
      </c>
      <c r="D39">
        <v>15</v>
      </c>
      <c r="E39" s="13">
        <f t="shared" si="2"/>
        <v>7.3710073710073713E-3</v>
      </c>
      <c r="F39" s="13">
        <f t="shared" si="4"/>
        <v>0.98771498771498789</v>
      </c>
      <c r="G39" s="11" t="str">
        <f t="shared" si="0"/>
        <v>C</v>
      </c>
      <c r="H39" s="11" t="str">
        <f>VLOOKUP(B39,'Raw Data'!A:J,10,FALSE)</f>
        <v>OK</v>
      </c>
      <c r="I39" t="str">
        <f t="shared" si="3"/>
        <v>Low</v>
      </c>
    </row>
    <row r="40" spans="1:9" x14ac:dyDescent="0.3">
      <c r="A40">
        <f t="shared" si="1"/>
        <v>39</v>
      </c>
      <c r="B40" t="s">
        <v>32</v>
      </c>
      <c r="C40" t="s">
        <v>42</v>
      </c>
      <c r="D40">
        <v>15</v>
      </c>
      <c r="E40" s="13">
        <f t="shared" si="2"/>
        <v>7.3710073710073713E-3</v>
      </c>
      <c r="F40" s="13">
        <f t="shared" si="4"/>
        <v>0.99508599508599527</v>
      </c>
      <c r="G40" s="11" t="str">
        <f t="shared" si="0"/>
        <v>C</v>
      </c>
      <c r="H40" s="11" t="str">
        <f>VLOOKUP(B40,'Raw Data'!A:J,10,FALSE)</f>
        <v>OK</v>
      </c>
      <c r="I40" t="str">
        <f t="shared" si="3"/>
        <v>Low</v>
      </c>
    </row>
    <row r="41" spans="1:9" x14ac:dyDescent="0.3">
      <c r="A41">
        <f t="shared" si="1"/>
        <v>40</v>
      </c>
      <c r="B41" t="s">
        <v>10</v>
      </c>
      <c r="C41" t="s">
        <v>11</v>
      </c>
      <c r="D41">
        <v>10</v>
      </c>
      <c r="E41" s="13">
        <f t="shared" si="2"/>
        <v>4.9140049140049139E-3</v>
      </c>
      <c r="F41" s="13">
        <f t="shared" si="4"/>
        <v>1.0000000000000002</v>
      </c>
      <c r="G41" s="11" t="str">
        <f t="shared" si="0"/>
        <v>C</v>
      </c>
      <c r="H41" s="11" t="str">
        <f>VLOOKUP(B41,'Raw Data'!A:J,10,FALSE)</f>
        <v>OK</v>
      </c>
      <c r="I41" t="str">
        <f t="shared" si="3"/>
        <v>Low</v>
      </c>
    </row>
  </sheetData>
  <sortState xmlns:xlrd2="http://schemas.microsoft.com/office/spreadsheetml/2017/richdata2" ref="B2:D49">
    <sortCondition descending="1" ref="D1:D49"/>
  </sortState>
  <conditionalFormatting sqref="D20">
    <cfRule type="containsText" dxfId="7" priority="9" operator="containsText" text="OK">
      <formula>NOT(ISERROR(SEARCH("OK",D20)))</formula>
    </cfRule>
  </conditionalFormatting>
  <conditionalFormatting sqref="G1:H1048576">
    <cfRule type="cellIs" dxfId="6" priority="5" operator="equal">
      <formula>"B"</formula>
    </cfRule>
    <cfRule type="cellIs" dxfId="5" priority="6" operator="equal">
      <formula>"C"</formula>
    </cfRule>
    <cfRule type="cellIs" dxfId="4" priority="8" operator="equal">
      <formula>"A"</formula>
    </cfRule>
  </conditionalFormatting>
  <conditionalFormatting sqref="I1:I1048576">
    <cfRule type="cellIs" dxfId="3" priority="1" operator="equal">
      <formula>"Low"</formula>
    </cfRule>
    <cfRule type="cellIs" dxfId="2" priority="2" operator="equal">
      <formula>"Medium"</formula>
    </cfRule>
    <cfRule type="cellIs" dxfId="1" priority="3" operator="equal">
      <formula>"High"</formula>
    </cfRule>
    <cfRule type="cellIs" dxfId="0" priority="4" operator="equal">
      <formula>"URGENT"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 Overview</vt:lpstr>
      <vt:lpstr>Executive Dashboard</vt:lpstr>
      <vt:lpstr>ABC Analysis</vt:lpstr>
      <vt:lpstr>Category Analysis</vt:lpstr>
      <vt:lpstr>Supplier Analysis</vt:lpstr>
      <vt:lpstr>Inventory Turnover Analysis</vt:lpstr>
      <vt:lpstr>Monthly Demand Data</vt:lpstr>
      <vt:lpstr>Forecast Analysis</vt:lpstr>
      <vt:lpstr>Raw Data</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MAUCHUMI SAIKIA PATHAK</cp:lastModifiedBy>
  <dcterms:created xsi:type="dcterms:W3CDTF">2026-03-19T13:30:46Z</dcterms:created>
  <dcterms:modified xsi:type="dcterms:W3CDTF">2026-06-13T20:33:00Z</dcterms:modified>
</cp:coreProperties>
</file>